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slicers/slicer5.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ata Analytics\Data Analytics\Excel\Project\Project_Final\"/>
    </mc:Choice>
  </mc:AlternateContent>
  <xr:revisionPtr revIDLastSave="0" documentId="13_ncr:1_{B00643C6-3C04-4221-BD08-6D2FA3FD6A73}" xr6:coauthVersionLast="47" xr6:coauthVersionMax="47" xr10:uidLastSave="{00000000-0000-0000-0000-000000000000}"/>
  <bookViews>
    <workbookView xWindow="20370" yWindow="-120" windowWidth="29040" windowHeight="15840" firstSheet="2" activeTab="2" xr2:uid="{01503773-82B4-41F5-B253-AC8F5C6264E8}"/>
  </bookViews>
  <sheets>
    <sheet name="synthetic_production_dataset" sheetId="1" r:id="rId1"/>
    <sheet name="Design_Sheet" sheetId="2" r:id="rId2"/>
    <sheet name="Overview" sheetId="3" r:id="rId3"/>
    <sheet name="Production Analysis" sheetId="4" r:id="rId4"/>
    <sheet name="Quality Analysis" sheetId="5" r:id="rId5"/>
    <sheet name="Cost &amp; Revenue" sheetId="6" r:id="rId6"/>
    <sheet name="Efficiency &amp; Downtime" sheetId="7" r:id="rId7"/>
  </sheets>
  <definedNames>
    <definedName name="_xlnm._FilterDatabase" localSheetId="0" hidden="1">synthetic_production_dataset!$A$1:$L$1</definedName>
    <definedName name="_xlcn.WorksheetConnection_synthetic_production_dataset.csvManufacturing" hidden="1">Manufacturing[]</definedName>
    <definedName name="Slicer_Category">#N/A</definedName>
    <definedName name="Slicer_Manufacturing_Plant">#N/A</definedName>
    <definedName name="Slicer_Month">#N/A</definedName>
    <definedName name="Slicer_Product">#N/A</definedName>
    <definedName name="Slicer_Supervisor">#N/A</definedName>
    <definedName name="Slicer_Year">#N/A</definedName>
  </definedNames>
  <calcPr calcId="191028"/>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 cacheId="16" r:id="rId24"/>
    <pivotCache cacheId="17" r:id="rId25"/>
    <pivotCache cacheId="18" r:id="rId26"/>
    <pivotCache cacheId="19" r:id="rId27"/>
    <pivotCache cacheId="20" r:id="rId28"/>
  </pivotCaches>
  <extLst>
    <ext xmlns:x14="http://schemas.microsoft.com/office/spreadsheetml/2009/9/main" uri="{876F7934-8845-4945-9796-88D515C7AA90}">
      <x14:pivotCaches>
        <pivotCache cacheId="21" r:id="rId29"/>
      </x14:pivotCaches>
    </ext>
    <ext xmlns:x14="http://schemas.microsoft.com/office/spreadsheetml/2009/9/main" uri="{BBE1A952-AA13-448e-AADC-164F8A28A991}">
      <x14:slicerCaches>
        <x14:slicerCache r:id="rId30"/>
        <x14:slicerCache r:id="rId31"/>
        <x14:slicerCache r:id="rId32"/>
        <x14:slicerCache r:id="rId33"/>
        <x14:slicerCache r:id="rId34"/>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nufacturing" name="Manufacturing" connection="WorksheetConnection_synthetic_production_dataset.csv!Manufacturing"/>
        </x15:modelTables>
        <x15:extLst>
          <ext xmlns:x16="http://schemas.microsoft.com/office/spreadsheetml/2014/11/main" uri="{9835A34E-60A6-4A7C-AAB8-D5F71C897F49}">
            <x16:modelTimeGroupings>
              <x16:modelTimeGrouping tableName="Manufacturing" columnName="Production Date" columnId="Production Date">
                <x16:calculatedTimeColumn columnName="Production Date (Year)" columnId="Production Date (Year)" contentType="years" isSelected="1"/>
                <x16:calculatedTimeColumn columnName="Production Date (Quarter)" columnId="Production Date (Quarter)" contentType="quarters" isSelected="1"/>
                <x16:calculatedTimeColumn columnName="Production Date (Month Index)" columnId="Production Date (Month Index)" contentType="monthsindex" isSelected="1"/>
                <x16:calculatedTimeColumn columnName="Production Date (Month)" columnId="Product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2"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A0C7B5-842A-4CF0-9E9B-C11534683ED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234459B-BF90-4774-ACFA-6772EAE550F5}" name="WorksheetConnection_synthetic_production_dataset.csv!Manufacturing" type="102" refreshedVersion="8" minRefreshableVersion="5">
    <extLst>
      <ext xmlns:x15="http://schemas.microsoft.com/office/spreadsheetml/2010/11/main" uri="{DE250136-89BD-433C-8126-D09CA5730AF9}">
        <x15:connection id="Manufacturing" autoDelete="1">
          <x15:rangePr sourceName="_xlcn.WorksheetConnection_synthetic_production_dataset.csvManufacturing"/>
        </x15:connection>
      </ext>
    </extLst>
  </connection>
</connections>
</file>

<file path=xl/sharedStrings.xml><?xml version="1.0" encoding="utf-8"?>
<sst xmlns="http://schemas.openxmlformats.org/spreadsheetml/2006/main" count="2697" uniqueCount="577">
  <si>
    <t>Order ID</t>
  </si>
  <si>
    <t>Product</t>
  </si>
  <si>
    <t>Category</t>
  </si>
  <si>
    <t>Manufacturing Plant</t>
  </si>
  <si>
    <t>Production Date</t>
  </si>
  <si>
    <t>Quantity Produced</t>
  </si>
  <si>
    <t>Defects</t>
  </si>
  <si>
    <t>Downtime (Hours)</t>
  </si>
  <si>
    <t>Production Cost ($)</t>
  </si>
  <si>
    <t>Sales Revenue ($)</t>
  </si>
  <si>
    <t>Efficiency (%)</t>
  </si>
  <si>
    <t>Supervisor</t>
  </si>
  <si>
    <t>Month</t>
  </si>
  <si>
    <t>Year</t>
  </si>
  <si>
    <t>Defect Range</t>
  </si>
  <si>
    <t>ORD0001</t>
  </si>
  <si>
    <t>Widget A</t>
  </si>
  <si>
    <t>Tools</t>
  </si>
  <si>
    <t>Plant A</t>
  </si>
  <si>
    <t>Bob</t>
  </si>
  <si>
    <t>ORD0002</t>
  </si>
  <si>
    <t>Widget B</t>
  </si>
  <si>
    <t>Electronics</t>
  </si>
  <si>
    <t>Plant B</t>
  </si>
  <si>
    <t>Charlie</t>
  </si>
  <si>
    <t>ORD0003</t>
  </si>
  <si>
    <t>Gadget Y</t>
  </si>
  <si>
    <t>Plant C</t>
  </si>
  <si>
    <t>ORD0004</t>
  </si>
  <si>
    <t>Ethan</t>
  </si>
  <si>
    <t>ORD0005</t>
  </si>
  <si>
    <t>Gadget X</t>
  </si>
  <si>
    <t>Mechanical</t>
  </si>
  <si>
    <t>Alice</t>
  </si>
  <si>
    <t>ORD0006</t>
  </si>
  <si>
    <t>ORD0007</t>
  </si>
  <si>
    <t>Tool Z</t>
  </si>
  <si>
    <t>Diana</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</si>
  <si>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</si>
  <si>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</si>
  <si>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</si>
  <si>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</si>
  <si>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</si>
  <si>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</si>
  <si>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</si>
  <si>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</si>
  <si>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</si>
  <si>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</si>
  <si>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</si>
  <si>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</si>
  <si>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</si>
  <si>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</si>
  <si>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</si>
  <si>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</si>
  <si>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</si>
  <si>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</si>
  <si>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</si>
  <si>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</si>
  <si>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</si>
  <si>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</si>
  <si>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</si>
  <si>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</si>
  <si>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</si>
  <si>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</si>
  <si>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</si>
  <si>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</si>
  <si>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</si>
  <si>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</si>
  <si>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</si>
  <si>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</si>
  <si>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</si>
  <si>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</si>
  <si>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</si>
  <si>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</si>
  <si>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</si>
  <si>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</si>
  <si>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</si>
  <si>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</si>
  <si>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</si>
  <si>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</si>
  <si>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</si>
  <si>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</si>
  <si>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</si>
  <si>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</si>
  <si>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</si>
  <si>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</si>
  <si>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</si>
  <si>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</si>
  <si>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</si>
  <si>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</si>
  <si>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</si>
  <si>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</si>
  <si>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</si>
  <si>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</si>
  <si>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</si>
  <si>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</si>
  <si>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</si>
  <si>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</si>
  <si>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</si>
  <si>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</si>
  <si>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</si>
  <si>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</si>
  <si>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</si>
  <si>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</si>
  <si>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</si>
  <si>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</si>
  <si>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</si>
  <si>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</si>
  <si>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</si>
  <si>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</si>
  <si>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</si>
  <si>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</si>
  <si>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</si>
  <si>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</si>
  <si>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</si>
  <si>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</si>
  <si>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</si>
  <si>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</si>
  <si>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</si>
  <si>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</si>
  <si>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</si>
  <si>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</si>
  <si>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</si>
  <si>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</si>
  <si>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</si>
  <si>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</si>
  <si>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</si>
  <si>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</si>
  <si>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</si>
  <si>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</si>
  <si>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</si>
  <si>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</si>
  <si>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</si>
  <si>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</si>
  <si>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</si>
  <si>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</si>
  <si>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</si>
  <si>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</si>
  <si>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</si>
  <si>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</si>
  <si>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</si>
  <si>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</si>
  <si>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</si>
  <si>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</si>
  <si>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</si>
  <si>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</si>
  <si>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</si>
  <si>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</si>
  <si>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</si>
  <si>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</si>
  <si>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</si>
  <si>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</si>
  <si>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</si>
  <si>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</si>
  <si>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</si>
  <si>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</si>
  <si>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</si>
  <si>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</si>
  <si>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</si>
  <si>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</si>
  <si>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</si>
  <si>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</si>
  <si>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</si>
  <si>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</si>
  <si>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</si>
  <si>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</si>
  <si>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</si>
  <si>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</si>
  <si>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</si>
  <si>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</si>
  <si>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</si>
  <si>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</si>
  <si>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</si>
  <si>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</si>
  <si>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</si>
  <si>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</si>
  <si>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</si>
  <si>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</si>
  <si>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</si>
  <si>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</si>
  <si>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</si>
  <si>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</si>
  <si>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</si>
  <si>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</si>
  <si>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</si>
  <si>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</si>
  <si>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</si>
  <si>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</si>
  <si>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</si>
  <si>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</si>
  <si>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</si>
  <si>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</si>
  <si>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</si>
  <si>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</si>
  <si>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</si>
  <si>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</si>
  <si>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</si>
  <si>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</si>
  <si>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</si>
  <si>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</si>
  <si>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</si>
  <si>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</si>
  <si>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</si>
  <si>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</si>
  <si>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</si>
  <si>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</si>
  <si>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</si>
  <si>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</si>
  <si>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</si>
  <si>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</si>
  <si>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</si>
  <si>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</si>
  <si>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</si>
  <si>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</si>
  <si>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</si>
  <si>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</si>
  <si>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</si>
  <si>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</si>
  <si>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</si>
  <si>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</si>
  <si>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</si>
  <si>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</si>
  <si>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</si>
  <si>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</si>
  <si>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</si>
  <si>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</si>
  <si>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</si>
  <si>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</si>
  <si>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</si>
  <si>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</si>
  <si>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</si>
  <si>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</si>
  <si>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</si>
  <si>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</si>
  <si>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</si>
  <si>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</si>
  <si>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</si>
  <si>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</si>
  <si>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</si>
  <si>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</si>
  <si>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</si>
  <si>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</si>
  <si>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</si>
  <si>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</si>
  <si>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</si>
  <si>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</si>
  <si>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</si>
  <si>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</si>
  <si>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</si>
  <si>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</si>
  <si>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</si>
  <si>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</si>
  <si>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</si>
  <si>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</si>
  <si>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</si>
  <si>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</si>
  <si>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</si>
  <si>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</si>
  <si>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</si>
  <si>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</si>
  <si>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</si>
  <si>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</si>
  <si>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</si>
  <si>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</si>
  <si>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</si>
  <si>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</si>
  <si>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</si>
  <si>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</si>
  <si>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</si>
  <si>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</si>
  <si>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</si>
  <si>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</si>
  <si>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</si>
  <si>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</si>
  <si>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</si>
  <si>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</si>
  <si>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</si>
  <si>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</si>
  <si>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</si>
  <si>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</si>
  <si>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</si>
  <si>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</si>
  <si>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</si>
  <si>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</si>
  <si>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</si>
  <si>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</si>
  <si>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</si>
  <si>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</si>
  <si>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</si>
  <si>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</si>
  <si>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</si>
  <si>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</si>
  <si>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</si>
  <si>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</si>
  <si>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</si>
  <si>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</si>
  <si>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</si>
  <si>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</si>
  <si>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</si>
  <si>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</si>
  <si>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</si>
  <si>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</si>
  <si>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</si>
  <si>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</si>
  <si>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</si>
  <si>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</si>
  <si>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</si>
  <si>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</si>
  <si>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</si>
  <si>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</si>
  <si>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</si>
  <si>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</si>
  <si>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</si>
  <si>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</si>
  <si>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</si>
  <si>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</si>
  <si>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</si>
  <si>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</si>
  <si>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</si>
  <si>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</si>
  <si>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</si>
  <si>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</si>
  <si>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</si>
  <si>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</si>
  <si>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</si>
  <si>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</si>
  <si>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</si>
  <si>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</si>
  <si>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</si>
  <si>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</si>
  <si>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</si>
  <si>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</si>
  <si>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</si>
  <si>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</si>
  <si>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</si>
  <si>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</si>
  <si>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</si>
  <si>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</si>
  <si>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</si>
  <si>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</si>
  <si>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</si>
  <si>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</si>
  <si>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</si>
  <si>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</si>
  <si>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</si>
  <si>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</si>
  <si>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</si>
  <si>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</si>
  <si>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</si>
  <si>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</si>
  <si>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</si>
  <si>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</si>
  <si>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</si>
  <si>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</si>
  <si>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</si>
  <si>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</si>
  <si>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</si>
  <si>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</si>
  <si>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</si>
  <si>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</si>
  <si>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</si>
  <si>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</si>
  <si>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</si>
  <si>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</si>
  <si>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</si>
  <si>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</si>
  <si>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</si>
  <si>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</si>
  <si>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</si>
  <si>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</si>
  <si>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</si>
  <si>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</si>
  <si>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</si>
  <si>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</si>
  <si>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</si>
  <si>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</si>
  <si>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</si>
  <si>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</si>
  <si>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</si>
  <si>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</si>
  <si>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</si>
  <si>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</si>
  <si>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</si>
  <si>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</si>
  <si>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</si>
  <si>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</si>
  <si>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</si>
  <si>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</si>
  <si>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</si>
  <si>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</si>
  <si>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</si>
  <si>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</si>
  <si>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</si>
  <si>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</si>
  <si>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</si>
  <si>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</si>
  <si>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</si>
  <si>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</si>
  <si>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</si>
  <si>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</si>
  <si>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</si>
  <si>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</si>
  <si>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</si>
  <si>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</si>
  <si>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</si>
  <si>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</si>
  <si>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</si>
  <si>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</si>
  <si>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</si>
  <si>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</si>
  <si>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</si>
  <si>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</si>
  <si>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</si>
  <si>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</si>
  <si>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</si>
  <si>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</si>
  <si>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</si>
  <si>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</si>
  <si>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</si>
  <si>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</si>
  <si>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</si>
  <si>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</si>
  <si>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</si>
  <si>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</si>
  <si>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</si>
  <si>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</si>
  <si>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</si>
  <si>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</si>
  <si>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</si>
  <si>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</si>
  <si>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</si>
  <si>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</si>
  <si>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</si>
  <si>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</si>
  <si>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</si>
  <si>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</si>
  <si>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</si>
  <si>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</si>
  <si>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</si>
  <si>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</si>
  <si>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</si>
  <si>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</si>
  <si>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</si>
  <si>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</si>
  <si>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</si>
  <si>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</si>
  <si>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</si>
  <si>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</si>
  <si>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</si>
  <si>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</si>
  <si>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</si>
  <si>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</si>
  <si>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</si>
  <si>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</si>
  <si>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</si>
  <si>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</si>
  <si>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</si>
  <si>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</si>
  <si>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</si>
  <si>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</si>
  <si>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</si>
  <si>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</si>
  <si>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</si>
  <si>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</si>
  <si>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</si>
  <si>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</si>
  <si>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</si>
  <si>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</si>
  <si>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</si>
  <si>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</si>
  <si>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</si>
  <si>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</si>
  <si>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</si>
  <si>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</si>
  <si>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</si>
  <si>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</si>
  <si>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</si>
  <si>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</si>
  <si>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</si>
  <si>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</si>
  <si>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</si>
  <si>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</si>
  <si>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</si>
  <si>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</si>
  <si>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</si>
  <si>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</si>
  <si>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</si>
  <si>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</si>
  <si>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</si>
  <si>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</si>
  <si>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</si>
  <si>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</si>
  <si>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</si>
  <si>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</si>
  <si>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</si>
  <si>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</si>
  <si>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</si>
  <si>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</si>
  <si>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</si>
  <si>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</si>
  <si>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</si>
  <si>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</si>
  <si>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</si>
  <si>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</si>
  <si>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</si>
  <si>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</si>
  <si>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</si>
  <si>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</si>
  <si>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</si>
  <si>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</si>
  <si>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</si>
  <si>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</si>
  <si>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</si>
  <si>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</si>
  <si>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</si>
  <si>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</si>
  <si>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</si>
  <si>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</si>
  <si>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</si>
  <si>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</si>
  <si>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</si>
  <si>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</si>
  <si>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</si>
  <si>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</si>
  <si>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</si>
  <si>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</si>
  <si>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</si>
  <si>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</si>
  <si>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</si>
  <si>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</si>
  <si>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</si>
  <si>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Overview</t>
  </si>
  <si>
    <t>Total Defects</t>
  </si>
  <si>
    <t>Efficiency &amp; Downtime</t>
  </si>
  <si>
    <t>Quantity Produced by Plant</t>
  </si>
  <si>
    <t>Defects by Product Category</t>
  </si>
  <si>
    <t>Row Labels</t>
  </si>
  <si>
    <t>Sum of Defects</t>
  </si>
  <si>
    <t>Sales Revenue by Category and Month</t>
  </si>
  <si>
    <t>Revenue vs. Production Cost by Product</t>
  </si>
  <si>
    <t>Sum of Sales Revenue ($)</t>
  </si>
  <si>
    <t>Column Labels</t>
  </si>
  <si>
    <t>Jan</t>
  </si>
  <si>
    <t>Feb</t>
  </si>
  <si>
    <t>Mar</t>
  </si>
  <si>
    <t>Apr</t>
  </si>
  <si>
    <t>May</t>
  </si>
  <si>
    <t>Jun</t>
  </si>
  <si>
    <t>Jul</t>
  </si>
  <si>
    <t>Aug</t>
  </si>
  <si>
    <t>Sep</t>
  </si>
  <si>
    <t>Oct</t>
  </si>
  <si>
    <t>Nov</t>
  </si>
  <si>
    <t>Dec</t>
  </si>
  <si>
    <t>Production Analysis</t>
  </si>
  <si>
    <t>Quality Analysis</t>
  </si>
  <si>
    <t>Defects Distribution</t>
  </si>
  <si>
    <t>Defects Trend over Time</t>
  </si>
  <si>
    <t>Sum of Quantity Produced</t>
  </si>
  <si>
    <t>Count of Defect Range</t>
  </si>
  <si>
    <t>0-9</t>
  </si>
  <si>
    <t>10-19</t>
  </si>
  <si>
    <t>20-29</t>
  </si>
  <si>
    <t>30-39</t>
  </si>
  <si>
    <t>40-49</t>
  </si>
  <si>
    <t>Monthly Production Trend</t>
  </si>
  <si>
    <t>50+</t>
  </si>
  <si>
    <t>Defects by Product and Plant</t>
  </si>
  <si>
    <t>Downtime Hours by Plant</t>
  </si>
  <si>
    <t>Efficiency % vs. Downtime by Category</t>
  </si>
  <si>
    <t>Efficiency % vs. Downtime by Month</t>
  </si>
  <si>
    <t>Cost and Revenue Analysis</t>
  </si>
  <si>
    <t>Revenue by Plant</t>
  </si>
  <si>
    <t>Sum of Downtime (Hours)</t>
  </si>
  <si>
    <t>Revenue vs. Cost by Category</t>
  </si>
  <si>
    <t>Average of Efficiency (%)</t>
  </si>
  <si>
    <t>Revenue vs. Cost Monthly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</si>
</sst>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 &quot;M&quot;"/>
    <numFmt numFmtId="165" formatCode="&quot;₹&quot;\ 0.0,\ &quot;K&quot;"/>
    <numFmt numFmtId="166" formatCode="0.0,,\ &quot;M&quot;"/>
  </numFmts>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rgb="FF000000"/>
      <name val="Aptos Narrow"/>
      <family val="2"/>
      <scheme val="minor"/>
    </font>
    <font>
      <sz val="11"/>
      <color rgb="FF000000"/>
      <name val="Inherit"/>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59999389629810485"/>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2">
    <xf numFmtId="0" fontId="0" fillId="0" borderId="0" xfId="0"/>
    <xf numFmtId="14" fontId="0" fillId="0" borderId="0" xfId="0" applyNumberFormat="1"/>
    <xf numFmtId="4" fontId="0" fillId="0" borderId="0" xfId="0" applyNumberFormat="1"/>
    <xf numFmtId="3" fontId="0" fillId="0" borderId="0" xfId="0" applyNumberFormat="1"/>
    <xf numFmtId="0" fontId="19" fillId="33" borderId="0" xfId="0" applyFont="1" applyFill="1" applyAlignment="1">
      <alignment horizontal="left" vertical="center" indent="1"/>
    </xf>
    <xf numFmtId="0" fontId="0" fillId="34" borderId="11" xfId="0" applyFill="1" applyBorder="1"/>
    <xf numFmtId="0" fontId="0" fillId="0" borderId="12" xfId="0" applyBorder="1"/>
    <xf numFmtId="0" fontId="0" fillId="0" borderId="13" xfId="0" applyBorder="1"/>
    <xf numFmtId="0" fontId="0" fillId="33" borderId="14" xfId="0" applyFill="1" applyBorder="1"/>
    <xf numFmtId="0" fontId="0" fillId="33" borderId="0" xfId="0" applyFill="1"/>
    <xf numFmtId="0" fontId="0" fillId="0" borderId="15" xfId="0" applyBorder="1"/>
    <xf numFmtId="0" fontId="0" fillId="0" borderId="14" xfId="0" applyBorder="1"/>
    <xf numFmtId="0" fontId="18" fillId="33" borderId="14" xfId="0" applyFont="1" applyFill="1" applyBorder="1" applyAlignment="1">
      <alignment horizontal="left" vertical="center" readingOrder="1"/>
    </xf>
    <xf numFmtId="0" fontId="19" fillId="33" borderId="0" xfId="0" applyFont="1" applyFill="1" applyAlignment="1">
      <alignment horizontal="left" vertical="center"/>
    </xf>
    <xf numFmtId="0" fontId="0" fillId="0" borderId="16" xfId="0" applyBorder="1"/>
    <xf numFmtId="0" fontId="0" fillId="0" borderId="17" xfId="0" applyBorder="1"/>
    <xf numFmtId="0" fontId="0" fillId="0" borderId="18" xfId="0" applyBorder="1"/>
    <xf numFmtId="0" fontId="0" fillId="0" borderId="10" xfId="0" pivotButton="1" applyBorder="1"/>
    <xf numFmtId="0" fontId="0" fillId="0" borderId="19" xfId="0" applyBorder="1" applyAlignment="1">
      <alignment horizontal="left"/>
    </xf>
    <xf numFmtId="0" fontId="0" fillId="0" borderId="20" xfId="0" applyBorder="1" applyAlignment="1">
      <alignment horizontal="left"/>
    </xf>
    <xf numFmtId="0" fontId="0" fillId="0" borderId="21" xfId="0" applyBorder="1" applyAlignment="1">
      <alignment horizontal="left"/>
    </xf>
    <xf numFmtId="166" fontId="0" fillId="0" borderId="10" xfId="0" applyNumberFormat="1" applyBorder="1"/>
    <xf numFmtId="0" fontId="0" fillId="0" borderId="10" xfId="0" applyBorder="1"/>
    <xf numFmtId="2" fontId="0" fillId="0" borderId="10" xfId="0" applyNumberFormat="1" applyBorder="1"/>
    <xf numFmtId="164" fontId="0" fillId="0" borderId="10" xfId="0" applyNumberFormat="1" applyBorder="1"/>
    <xf numFmtId="3" fontId="0" fillId="0" borderId="19" xfId="0" applyNumberFormat="1" applyBorder="1"/>
    <xf numFmtId="3" fontId="0" fillId="0" borderId="20" xfId="0" applyNumberFormat="1" applyBorder="1"/>
    <xf numFmtId="3" fontId="0" fillId="0" borderId="21" xfId="0" applyNumberFormat="1" applyBorder="1"/>
    <xf numFmtId="165" fontId="0" fillId="0" borderId="15" xfId="0" applyNumberFormat="1" applyBorder="1"/>
    <xf numFmtId="165" fontId="0" fillId="0" borderId="17" xfId="0" applyNumberFormat="1" applyBorder="1"/>
    <xf numFmtId="165" fontId="0" fillId="0" borderId="18" xfId="0" applyNumberFormat="1" applyBorder="1"/>
    <xf numFmtId="165" fontId="0" fillId="0" borderId="11" xfId="0" applyNumberFormat="1" applyBorder="1"/>
    <xf numFmtId="165" fontId="0" fillId="0" borderId="12" xfId="0" applyNumberFormat="1" applyBorder="1"/>
    <xf numFmtId="165" fontId="0" fillId="0" borderId="13" xfId="0" applyNumberFormat="1" applyBorder="1"/>
    <xf numFmtId="165" fontId="0" fillId="0" borderId="14" xfId="0" applyNumberFormat="1" applyBorder="1"/>
    <xf numFmtId="165" fontId="0" fillId="0" borderId="16" xfId="0" applyNumberFormat="1" applyBorder="1"/>
    <xf numFmtId="0" fontId="0" fillId="0" borderId="22" xfId="0" applyBorder="1"/>
    <xf numFmtId="0" fontId="0" fillId="0" borderId="23" xfId="0" applyBorder="1"/>
    <xf numFmtId="0" fontId="0" fillId="0" borderId="24" xfId="0" applyBorder="1"/>
    <xf numFmtId="0" fontId="0" fillId="0" borderId="11" xfId="0" applyBorder="1"/>
    <xf numFmtId="3" fontId="0" fillId="0" borderId="10" xfId="0" applyNumberFormat="1" applyBorder="1"/>
    <xf numFmtId="0" fontId="19" fillId="33" borderId="14" xfId="0" applyFont="1" applyFill="1" applyBorder="1" applyAlignment="1">
      <alignment horizontal="left" vertical="center" indent="1"/>
    </xf>
    <xf numFmtId="164" fontId="0" fillId="0" borderId="21" xfId="0" applyNumberFormat="1" applyBorder="1"/>
    <xf numFmtId="0" fontId="0" fillId="0" borderId="11" xfId="0" pivotButton="1" applyBorder="1"/>
    <xf numFmtId="0" fontId="0" fillId="0" borderId="14" xfId="0" applyBorder="1" applyAlignment="1">
      <alignment horizontal="left"/>
    </xf>
    <xf numFmtId="0" fontId="0" fillId="0" borderId="16" xfId="0" applyBorder="1" applyAlignment="1">
      <alignment horizontal="left"/>
    </xf>
    <xf numFmtId="3" fontId="0" fillId="0" borderId="25" xfId="0" applyNumberFormat="1" applyBorder="1"/>
    <xf numFmtId="3" fontId="0" fillId="0" borderId="26" xfId="0" applyNumberFormat="1" applyBorder="1"/>
    <xf numFmtId="0" fontId="0" fillId="0" borderId="26" xfId="0" pivotButton="1" applyBorder="1"/>
    <xf numFmtId="0" fontId="0" fillId="0" borderId="25" xfId="0" applyBorder="1" applyAlignment="1">
      <alignment horizontal="left"/>
    </xf>
    <xf numFmtId="0" fontId="0" fillId="0" borderId="26" xfId="0" applyBorder="1" applyAlignment="1">
      <alignment horizontal="left"/>
    </xf>
    <xf numFmtId="0" fontId="0" fillId="0" borderId="26" xfId="0" applyBorder="1"/>
    <xf numFmtId="0" fontId="19" fillId="33" borderId="14" xfId="0" applyFont="1" applyFill="1" applyBorder="1" applyAlignment="1">
      <alignment horizontal="left" vertical="center"/>
    </xf>
    <xf numFmtId="0" fontId="0" fillId="34" borderId="0" xfId="0" applyFill="1"/>
    <xf numFmtId="164" fontId="0" fillId="0" borderId="15" xfId="0" applyNumberFormat="1" applyBorder="1"/>
    <xf numFmtId="164" fontId="0" fillId="0" borderId="18" xfId="0" applyNumberFormat="1" applyBorder="1"/>
    <xf numFmtId="164" fontId="0" fillId="0" borderId="19" xfId="0" applyNumberFormat="1" applyBorder="1"/>
    <xf numFmtId="164" fontId="0" fillId="0" borderId="20" xfId="0" applyNumberFormat="1" applyBorder="1"/>
    <xf numFmtId="0" fontId="0" fillId="0" borderId="23" xfId="0" pivotButton="1" applyBorder="1"/>
    <xf numFmtId="164" fontId="0" fillId="0" borderId="11" xfId="0" applyNumberFormat="1" applyBorder="1"/>
    <xf numFmtId="164" fontId="0" fillId="0" borderId="14" xfId="0" applyNumberFormat="1" applyBorder="1"/>
    <xf numFmtId="164" fontId="0" fillId="0" borderId="16" xfId="0" applyNumberFormat="1" applyBorder="1"/>
    <xf numFmtId="164" fontId="0" fillId="0" borderId="13" xfId="0" applyNumberFormat="1" applyBorder="1"/>
    <xf numFmtId="0" fontId="0" fillId="34" borderId="14" xfId="0" applyFill="1" applyBorder="1"/>
    <xf numFmtId="0" fontId="16" fillId="33" borderId="14" xfId="0" applyFont="1" applyFill="1" applyBorder="1"/>
    <xf numFmtId="2" fontId="0" fillId="0" borderId="11" xfId="0" applyNumberFormat="1" applyBorder="1"/>
    <xf numFmtId="2" fontId="0" fillId="0" borderId="14" xfId="0" applyNumberFormat="1" applyBorder="1"/>
    <xf numFmtId="2" fontId="0" fillId="0" borderId="16" xfId="0" applyNumberFormat="1" applyBorder="1"/>
    <xf numFmtId="0" fontId="0" fillId="0" borderId="19" xfId="0" applyBorder="1"/>
    <xf numFmtId="0" fontId="0" fillId="0" borderId="20" xfId="0" applyBorder="1"/>
    <xf numFmtId="0" fontId="0" fillId="0" borderId="21" xfId="0" applyBorder="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4">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 0.0,,\ &quot;M&quot;"/>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 0.0,,\ &quot;M&quot;"/>
    </dxf>
    <dxf>
      <numFmt numFmtId="164" formatCode="&quot;₹&quot;\ 0.0,,\ &quot;M&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 0.0,,\ &quot;M&quot;"/>
    </dxf>
    <dxf>
      <numFmt numFmtId="164" formatCode="&quot;₹&quot;\ 0.0,,\ &quot;M&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4" formatCode="#,##0.00"/>
    </dxf>
    <dxf>
      <numFmt numFmtId="4" formatCode="#,##0.00"/>
    </dxf>
    <dxf>
      <numFmt numFmtId="3" formatCode="#,##0"/>
    </dxf>
    <dxf>
      <numFmt numFmtId="3" formatCode="#,##0"/>
    </dxf>
    <dxf>
      <numFmt numFmtId="19" formatCode="dd/mm/yyyy"/>
    </dxf>
  </dxfs>
  <tableStyles count="2" defaultTableStyle="TableStyleMedium2" defaultPivotStyle="PivotStyleLight16">
    <tableStyle name="Slicer Style 1" pivot="0" table="0" count="1" xr9:uid="{CB3880A8-5C22-4A1B-A20A-2BB5E5206CA1}"/>
    <tableStyle name="Slicer Style 2" pivot="0" table="0" count="1" xr9:uid="{8867B3F4-BC43-4245-936A-2A7FCEC4369D}"/>
  </tableStyles>
  <colors>
    <mruColors>
      <color rgb="FFD5F953"/>
    </mruColors>
  </colors>
  <extLst>
    <ext xmlns:x14="http://schemas.microsoft.com/office/spreadsheetml/2009/9/main" uri="{46F421CA-312F-682f-3DD2-61675219B42D}">
      <x14:dxfs count="2">
        <dxf>
          <font>
            <color theme="0"/>
          </font>
          <fill>
            <patternFill>
              <bgColor theme="3" tint="0.24994659260841701"/>
            </patternFill>
          </fill>
        </dxf>
        <dxf>
          <fill>
            <patternFill>
              <bgColor theme="3"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pivotCacheDefinition" Target="pivotCache/pivotCacheDefinition19.xml"/><Relationship Id="rId39" Type="http://schemas.openxmlformats.org/officeDocument/2006/relationships/sharedStrings" Target="sharedStrings.xml"/><Relationship Id="rId21" Type="http://schemas.openxmlformats.org/officeDocument/2006/relationships/pivotCacheDefinition" Target="pivotCache/pivotCacheDefinition14.xml"/><Relationship Id="rId34" Type="http://schemas.microsoft.com/office/2007/relationships/slicerCache" Target="slicerCaches/slicerCache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openxmlformats.org/officeDocument/2006/relationships/pivotCacheDefinition" Target="pivotCache/pivotCacheDefinition22.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microsoft.com/office/2007/relationships/slicerCache" Target="slicerCaches/slicerCache3.xml"/><Relationship Id="rId37" Type="http://schemas.openxmlformats.org/officeDocument/2006/relationships/connections" Target="connections.xml"/><Relationship Id="rId40"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openxmlformats.org/officeDocument/2006/relationships/theme" Target="theme/theme1.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microsoft.com/office/2007/relationships/slicerCache" Target="slicerCaches/slicerCache1.xml"/><Relationship Id="rId35" Type="http://schemas.microsoft.com/office/2007/relationships/slicerCache" Target="slicerCaches/slicerCache6.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microsoft.com/office/2007/relationships/slicerCache" Target="slicerCaches/slicerCache4.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[Manufacturing_Dashboard_Final.xlsx]Design_Sheet!PivotTable12</c:name>
    <c:fmtId val="7"/>
  </c:pivotSource>
  <c:chart>
    <c:title>
      <c:tx>
        <c:rich>
          <a:bodyPr rot="0" spcFirstLastPara="1" vertOverflow="ellipsis" vert="horz" wrap="square" anchor="ctr" anchorCtr="1"/>
          <a:lstStyle/>
          <a:p>
            <a:pPr algn="ctr" rtl="0">
              <a:defRPr sz="1600" b="1" i="0" u="none" strike="noStrike" kern="1200" cap="all" spc="0" baseline="0">
                <a:solidFill>
                  <a:sysClr val="windowText" lastClr="000000"/>
                </a:solidFill>
                <a:latin typeface="+mn-lt"/>
                <a:ea typeface="+mn-ea"/>
                <a:cs typeface="+mn-cs"/>
              </a:defRPr>
            </a:pPr>
            <a:r>
              <a:rPr lang="en-IN" sz="1400" b="0" i="0" u="none" strike="noStrike" kern="1200" cap="all" baseline="0">
                <a:solidFill>
                  <a:sysClr val="windowText" lastClr="000000"/>
                </a:solidFill>
                <a:latin typeface="+mn-lt"/>
                <a:ea typeface="+mn-ea"/>
                <a:cs typeface="+mn-cs"/>
              </a:rPr>
              <a:t>Quantity Produced by Plant</a:t>
            </a:r>
            <a:endParaRPr lang="en-US" sz="1400" b="0" i="0" u="none" strike="noStrike" kern="1200" cap="all" baseline="0">
              <a:solidFill>
                <a:sysClr val="windowText" lastClr="000000"/>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sz="1600" b="1" i="0" u="none" strike="noStrike" kern="1200" cap="all"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3333333333333329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8.611111111111111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9.444444444444447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3333333333333329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611111111111111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444444444444447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3333333333333329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8.611111111111111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444444444444447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9976224846894139"/>
          <c:y val="0.15258967629046369"/>
          <c:w val="0.40047572178477692"/>
          <c:h val="0.66745953630796151"/>
        </c:manualLayout>
      </c:layout>
      <c:doughnutChart>
        <c:varyColors val="1"/>
        <c:ser>
          <c:idx val="0"/>
          <c:order val="0"/>
          <c:tx>
            <c:strRef>
              <c:f>Design_Sheet!$B$8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DD-4215-964E-7A5EDC900B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DD-4215-964E-7A5EDC900B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DD-4215-964E-7A5EDC900B52}"/>
              </c:ext>
            </c:extLst>
          </c:dPt>
          <c:dLbls>
            <c:dLbl>
              <c:idx val="0"/>
              <c:layout>
                <c:manualLayout>
                  <c:x val="8.3333333333333329E-2"/>
                  <c:y val="-0.111111111111111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6DD-4215-964E-7A5EDC900B52}"/>
                </c:ext>
              </c:extLst>
            </c:dLbl>
            <c:dLbl>
              <c:idx val="1"/>
              <c:layout>
                <c:manualLayout>
                  <c:x val="8.611111111111111E-2"/>
                  <c:y val="0.120370370370370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6DD-4215-964E-7A5EDC900B52}"/>
                </c:ext>
              </c:extLst>
            </c:dLbl>
            <c:dLbl>
              <c:idx val="2"/>
              <c:layout>
                <c:manualLayout>
                  <c:x val="-9.444444444444447E-2"/>
                  <c:y val="-8.3333333333333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6DD-4215-964E-7A5EDC900B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Design_Sheet!$A$9:$A$11</c:f>
              <c:strCache>
                <c:ptCount val="3"/>
                <c:pt idx="0">
                  <c:v>Plant A</c:v>
                </c:pt>
                <c:pt idx="1">
                  <c:v>Plant B</c:v>
                </c:pt>
                <c:pt idx="2">
                  <c:v>Plant C</c:v>
                </c:pt>
              </c:strCache>
            </c:strRef>
          </c:cat>
          <c:val>
            <c:numRef>
              <c:f>Design_Sheet!$B$9:$B$11</c:f>
              <c:numCache>
                <c:formatCode>#,##0</c:formatCode>
                <c:ptCount val="3"/>
                <c:pt idx="0">
                  <c:v>423188</c:v>
                </c:pt>
                <c:pt idx="1">
                  <c:v>426530</c:v>
                </c:pt>
                <c:pt idx="2">
                  <c:v>424335</c:v>
                </c:pt>
              </c:numCache>
            </c:numRef>
          </c:val>
          <c:extLst>
            <c:ext xmlns:c16="http://schemas.microsoft.com/office/drawing/2014/chart" uri="{C3380CC4-5D6E-409C-BE32-E72D297353CC}">
              <c16:uniqueId val="{00000006-C6DD-4215-964E-7A5EDC900B5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[Manufacturing_Dashboard_Final.xlsx]Design_Sheet!PivotTable13</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all" spc="0" baseline="0">
                <a:solidFill>
                  <a:sysClr val="windowText" lastClr="000000"/>
                </a:solidFill>
                <a:latin typeface="+mn-lt"/>
                <a:ea typeface="+mn-ea"/>
                <a:cs typeface="+mn-cs"/>
              </a:defRPr>
            </a:pPr>
            <a:r>
              <a:rPr lang="en-IN" sz="1200" b="0" i="0" u="none" strike="noStrike" kern="1200" cap="all" baseline="0">
                <a:solidFill>
                  <a:sysClr val="windowText" lastClr="000000"/>
                </a:solidFill>
                <a:latin typeface="+mn-lt"/>
                <a:ea typeface="+mn-ea"/>
                <a:cs typeface="+mn-cs"/>
              </a:rPr>
              <a:t>Defects by Product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all"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15:layout>
                <c:manualLayout>
                  <c:w val="0.2397113906359189"/>
                  <c:h val="0.23062070707070706"/>
                </c:manualLayout>
              </c15:layout>
            </c:ext>
          </c:extLst>
        </c:dLbl>
      </c:pivotFmt>
      <c:pivotFmt>
        <c:idx val="8"/>
        <c:spPr>
          <a:solidFill>
            <a:schemeClr val="accent1"/>
          </a:solidFill>
          <a:ln w="19050">
            <a:solidFill>
              <a:schemeClr val="lt1"/>
            </a:solidFill>
          </a:ln>
          <a:effectLst/>
        </c:spPr>
      </c:pivotFmt>
    </c:pivotFmts>
    <c:plotArea>
      <c:layout/>
      <c:pieChart>
        <c:varyColors val="1"/>
        <c:ser>
          <c:idx val="0"/>
          <c:order val="0"/>
          <c:tx>
            <c:strRef>
              <c:f>Design_Sheet!$E$8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8C-4993-90A8-35FC64B070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8C-4993-90A8-35FC64B070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8C-4993-90A8-35FC64B07090}"/>
              </c:ext>
            </c:extLst>
          </c:dPt>
          <c:dLbls>
            <c:dLbl>
              <c:idx val="1"/>
              <c:dLblPos val="ctr"/>
              <c:showLegendKey val="0"/>
              <c:showVal val="1"/>
              <c:showCatName val="1"/>
              <c:showSerName val="0"/>
              <c:showPercent val="0"/>
              <c:showBubbleSize val="0"/>
              <c:separator>
</c:separator>
              <c:extLst>
                <c:ext xmlns:c15="http://schemas.microsoft.com/office/drawing/2012/chart" uri="{CE6537A1-D6FC-4f65-9D91-7224C49458BB}">
                  <c15:layout>
                    <c:manualLayout>
                      <c:w val="0.2397113906359189"/>
                      <c:h val="0.23062070707070706"/>
                    </c:manualLayout>
                  </c15:layout>
                </c:ext>
                <c:ext xmlns:c16="http://schemas.microsoft.com/office/drawing/2014/chart" uri="{C3380CC4-5D6E-409C-BE32-E72D297353CC}">
                  <c16:uniqueId val="{00000003-C38C-4993-90A8-35FC64B070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Design_Sheet!$D$9:$D$11</c:f>
              <c:strCache>
                <c:ptCount val="3"/>
                <c:pt idx="0">
                  <c:v>Electronics</c:v>
                </c:pt>
                <c:pt idx="1">
                  <c:v>Mechanical</c:v>
                </c:pt>
                <c:pt idx="2">
                  <c:v>Tools</c:v>
                </c:pt>
              </c:strCache>
            </c:strRef>
          </c:cat>
          <c:val>
            <c:numRef>
              <c:f>Design_Sheet!$E$9:$E$11</c:f>
              <c:numCache>
                <c:formatCode>General</c:formatCode>
                <c:ptCount val="3"/>
                <c:pt idx="0">
                  <c:v>4054</c:v>
                </c:pt>
                <c:pt idx="1">
                  <c:v>4554</c:v>
                </c:pt>
                <c:pt idx="2">
                  <c:v>4007</c:v>
                </c:pt>
              </c:numCache>
            </c:numRef>
          </c:val>
          <c:extLst>
            <c:ext xmlns:c16="http://schemas.microsoft.com/office/drawing/2014/chart" uri="{C3380CC4-5D6E-409C-BE32-E72D297353CC}">
              <c16:uniqueId val="{00000006-C38C-4993-90A8-35FC64B07090}"/>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[Manufacturing_Dashboard_Final.xlsx]Design_Sheet!PivotTable15</c:name>
    <c:fmtId val="15"/>
  </c:pivotSource>
  <c:chart>
    <c:title>
      <c:tx>
        <c:rich>
          <a:bodyPr rot="0" spcFirstLastPara="1" vertOverflow="ellipsis" vert="horz" wrap="square" anchor="ctr" anchorCtr="1"/>
          <a:lstStyle/>
          <a:p>
            <a:pPr algn="ctr" rtl="0">
              <a:defRPr sz="1600" b="1" i="0" u="none" strike="noStrike" kern="1200" cap="all" spc="0" baseline="0">
                <a:solidFill>
                  <a:sysClr val="windowText" lastClr="000000"/>
                </a:solidFill>
                <a:latin typeface="+mn-lt"/>
                <a:ea typeface="+mn-ea"/>
                <a:cs typeface="+mn-cs"/>
              </a:defRPr>
            </a:pPr>
            <a:r>
              <a:rPr lang="en-IN" sz="1600" b="0" i="0" u="none" strike="noStrike" kern="1200" cap="all" baseline="0">
                <a:solidFill>
                  <a:sysClr val="windowText" lastClr="000000"/>
                </a:solidFill>
                <a:latin typeface="+mn-lt"/>
                <a:ea typeface="+mn-ea"/>
                <a:cs typeface="+mn-cs"/>
              </a:rPr>
              <a:t>Revenue vs. Production Cost by Product </a:t>
            </a:r>
          </a:p>
        </c:rich>
      </c:tx>
      <c:overlay val="0"/>
      <c:spPr>
        <a:noFill/>
        <a:ln>
          <a:noFill/>
        </a:ln>
        <a:effectLst/>
      </c:spPr>
      <c:txPr>
        <a:bodyPr rot="0" spcFirstLastPara="1" vertOverflow="ellipsis" vert="horz" wrap="square" anchor="ctr" anchorCtr="1"/>
        <a:lstStyle/>
        <a:p>
          <a:pPr algn="ctr" rtl="0">
            <a:defRPr sz="1600" b="1" i="0" u="none" strike="noStrike" kern="1200" cap="all"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25000"/>
              <a:lumOff val="75000"/>
            </a:schemeClr>
          </a:solidFill>
          <a:ln>
            <a:noFill/>
          </a:ln>
          <a:effectLst/>
        </c:spPr>
        <c:marker>
          <c:symbol val="none"/>
        </c:marker>
        <c:dLbl>
          <c:idx val="0"/>
          <c:numFmt formatCode="&quot;₹&quot;\ 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quot;₹&quot;\ 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quot;₹&quot;\ 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25000"/>
              <a:lumOff val="75000"/>
            </a:schemeClr>
          </a:solidFill>
          <a:ln>
            <a:noFill/>
          </a:ln>
          <a:effectLst/>
        </c:spPr>
        <c:marker>
          <c:symbol val="none"/>
        </c:marker>
        <c:dLbl>
          <c:idx val="0"/>
          <c:numFmt formatCode="&quot;₹&quot;\ 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numFmt formatCode="&quot;₹&quot;\ 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25000"/>
              <a:lumOff val="75000"/>
            </a:schemeClr>
          </a:solidFill>
          <a:ln>
            <a:noFill/>
          </a:ln>
          <a:effectLst/>
        </c:spPr>
        <c:marker>
          <c:symbol val="none"/>
        </c:marker>
        <c:dLbl>
          <c:idx val="0"/>
          <c:numFmt formatCode="&quot;₹&quot;\ 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Design_Sheet!$G$15</c:f>
              <c:strCache>
                <c:ptCount val="1"/>
                <c:pt idx="0">
                  <c:v>Sales Revenue ($)</c:v>
                </c:pt>
              </c:strCache>
            </c:strRef>
          </c:tx>
          <c:spPr>
            <a:solidFill>
              <a:schemeClr val="accent1"/>
            </a:solidFill>
            <a:ln>
              <a:noFill/>
            </a:ln>
            <a:effectLst/>
          </c:spPr>
          <c:invertIfNegative val="0"/>
          <c:dLbls>
            <c:numFmt formatCode="&quot;₹&quot;\ 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Design_Sheet!$F$16:$F$20</c:f>
              <c:strCache>
                <c:ptCount val="5"/>
                <c:pt idx="0">
                  <c:v>Gadget Y</c:v>
                </c:pt>
                <c:pt idx="1">
                  <c:v>Widget B</c:v>
                </c:pt>
                <c:pt idx="2">
                  <c:v>Gadget X</c:v>
                </c:pt>
                <c:pt idx="3">
                  <c:v>Widget A</c:v>
                </c:pt>
                <c:pt idx="4">
                  <c:v>Tool Z</c:v>
                </c:pt>
              </c:strCache>
            </c:strRef>
          </c:cat>
          <c:val>
            <c:numRef>
              <c:f>Design_Sheet!$G$16:$G$20</c:f>
              <c:numCache>
                <c:formatCode>General</c:formatCode>
                <c:ptCount val="5"/>
                <c:pt idx="0">
                  <c:v>4223316.43</c:v>
                </c:pt>
                <c:pt idx="1">
                  <c:v>3743707.46</c:v>
                </c:pt>
                <c:pt idx="2">
                  <c:v>3214276.54</c:v>
                </c:pt>
                <c:pt idx="3">
                  <c:v>3167571.45</c:v>
                </c:pt>
                <c:pt idx="4">
                  <c:v>2858314.47</c:v>
                </c:pt>
              </c:numCache>
            </c:numRef>
          </c:val>
          <c:extLst>
            <c:ext xmlns:c16="http://schemas.microsoft.com/office/drawing/2014/chart" uri="{C3380CC4-5D6E-409C-BE32-E72D297353CC}">
              <c16:uniqueId val="{00000000-E2EC-497E-8DD1-64009D189873}"/>
            </c:ext>
          </c:extLst>
        </c:ser>
        <c:ser>
          <c:idx val="1"/>
          <c:order val="1"/>
          <c:tx>
            <c:strRef>
              <c:f>Design_Sheet!$H$15</c:f>
              <c:strCache>
                <c:ptCount val="1"/>
                <c:pt idx="0">
                  <c:v>Production Cost ($)</c:v>
                </c:pt>
              </c:strCache>
            </c:strRef>
          </c:tx>
          <c:spPr>
            <a:solidFill>
              <a:schemeClr val="tx2">
                <a:lumMod val="25000"/>
                <a:lumOff val="75000"/>
              </a:schemeClr>
            </a:solidFill>
            <a:ln>
              <a:noFill/>
            </a:ln>
            <a:effectLst/>
          </c:spPr>
          <c:invertIfNegative val="0"/>
          <c:dLbls>
            <c:numFmt formatCode="&quot;₹&quot;\ 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Design_Sheet!$F$16:$F$20</c:f>
              <c:strCache>
                <c:ptCount val="5"/>
                <c:pt idx="0">
                  <c:v>Gadget Y</c:v>
                </c:pt>
                <c:pt idx="1">
                  <c:v>Widget B</c:v>
                </c:pt>
                <c:pt idx="2">
                  <c:v>Gadget X</c:v>
                </c:pt>
                <c:pt idx="3">
                  <c:v>Widget A</c:v>
                </c:pt>
                <c:pt idx="4">
                  <c:v>Tool Z</c:v>
                </c:pt>
              </c:strCache>
            </c:strRef>
          </c:cat>
          <c:val>
            <c:numRef>
              <c:f>Design_Sheet!$H$16:$H$20</c:f>
              <c:numCache>
                <c:formatCode>General</c:formatCode>
                <c:ptCount val="5"/>
                <c:pt idx="0">
                  <c:v>3213532.24</c:v>
                </c:pt>
                <c:pt idx="1">
                  <c:v>2911931.9</c:v>
                </c:pt>
                <c:pt idx="2">
                  <c:v>2494562.02</c:v>
                </c:pt>
                <c:pt idx="3">
                  <c:v>2425758.33</c:v>
                </c:pt>
                <c:pt idx="4">
                  <c:v>2212708.7200000002</c:v>
                </c:pt>
              </c:numCache>
            </c:numRef>
          </c:val>
          <c:extLst>
            <c:ext xmlns:c16="http://schemas.microsoft.com/office/drawing/2014/chart" uri="{C3380CC4-5D6E-409C-BE32-E72D297353CC}">
              <c16:uniqueId val="{00000001-E2EC-497E-8DD1-64009D189873}"/>
            </c:ext>
          </c:extLst>
        </c:ser>
        <c:dLbls>
          <c:dLblPos val="outEnd"/>
          <c:showLegendKey val="0"/>
          <c:showVal val="1"/>
          <c:showCatName val="0"/>
          <c:showSerName val="0"/>
          <c:showPercent val="0"/>
          <c:showBubbleSize val="0"/>
        </c:dLbls>
        <c:gapWidth val="25"/>
        <c:axId val="1407132208"/>
        <c:axId val="1407151408"/>
      </c:barChart>
      <c:catAx>
        <c:axId val="1407132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07151408"/>
        <c:crosses val="autoZero"/>
        <c:auto val="1"/>
        <c:lblAlgn val="ctr"/>
        <c:lblOffset val="100"/>
        <c:noMultiLvlLbl val="0"/>
      </c:catAx>
      <c:valAx>
        <c:axId val="1407151408"/>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407132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[Manufacturing_Dashboard_Final.xlsx]Design_Sheet!PivotTable14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Design_Sheet!$B$14:$B$15</c:f>
              <c:strCache>
                <c:ptCount val="1"/>
                <c:pt idx="0">
                  <c:v>Electronics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Design_Sheet!$A$16:$A$27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Design_Sheet!$B$16:$B$27</c:f>
              <c:numCache>
                <c:formatCode>"₹"\ 0.0,\ "K"</c:formatCode>
                <c:ptCount val="12"/>
                <c:pt idx="0">
                  <c:v>513030.2</c:v>
                </c:pt>
                <c:pt idx="1">
                  <c:v>463153.18</c:v>
                </c:pt>
                <c:pt idx="2">
                  <c:v>303805.81</c:v>
                </c:pt>
                <c:pt idx="3">
                  <c:v>612660.18999999994</c:v>
                </c:pt>
                <c:pt idx="4">
                  <c:v>557964.43000000005</c:v>
                </c:pt>
                <c:pt idx="5">
                  <c:v>933605.2</c:v>
                </c:pt>
                <c:pt idx="6">
                  <c:v>385741.38</c:v>
                </c:pt>
                <c:pt idx="7">
                  <c:v>530531.29</c:v>
                </c:pt>
                <c:pt idx="8">
                  <c:v>483171.42</c:v>
                </c:pt>
                <c:pt idx="9">
                  <c:v>218123.99</c:v>
                </c:pt>
                <c:pt idx="10">
                  <c:v>358261.33</c:v>
                </c:pt>
                <c:pt idx="11">
                  <c:v>598073.17000000004</c:v>
                </c:pt>
              </c:numCache>
            </c:numRef>
          </c:val>
          <c:extLst>
            <c:ext xmlns:c16="http://schemas.microsoft.com/office/drawing/2014/chart" uri="{C3380CC4-5D6E-409C-BE32-E72D297353CC}">
              <c16:uniqueId val="{00000000-6CA9-4EC4-AFBE-D210115383F7}"/>
            </c:ext>
          </c:extLst>
        </c:ser>
        <c:ser>
          <c:idx val="1"/>
          <c:order val="1"/>
          <c:tx>
            <c:strRef>
              <c:f>Design_Sheet!$C$14:$C$15</c:f>
              <c:strCache>
                <c:ptCount val="1"/>
                <c:pt idx="0">
                  <c:v>Mechanical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Design_Sheet!$A$16:$A$27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Design_Sheet!$C$16:$C$27</c:f>
              <c:numCache>
                <c:formatCode>"₹"\ 0.0,\ "K"</c:formatCode>
                <c:ptCount val="12"/>
                <c:pt idx="0">
                  <c:v>621774.59</c:v>
                </c:pt>
                <c:pt idx="1">
                  <c:v>539712.76</c:v>
                </c:pt>
                <c:pt idx="2">
                  <c:v>339547.18</c:v>
                </c:pt>
                <c:pt idx="3">
                  <c:v>515494.2</c:v>
                </c:pt>
                <c:pt idx="4">
                  <c:v>484548.87</c:v>
                </c:pt>
                <c:pt idx="5">
                  <c:v>396531.28</c:v>
                </c:pt>
                <c:pt idx="6">
                  <c:v>581481.98</c:v>
                </c:pt>
                <c:pt idx="7">
                  <c:v>484282.68</c:v>
                </c:pt>
                <c:pt idx="8">
                  <c:v>747922.32</c:v>
                </c:pt>
                <c:pt idx="9">
                  <c:v>276454.52</c:v>
                </c:pt>
                <c:pt idx="10">
                  <c:v>335807.9</c:v>
                </c:pt>
                <c:pt idx="11">
                  <c:v>430295.77</c:v>
                </c:pt>
              </c:numCache>
            </c:numRef>
          </c:val>
          <c:extLst>
            <c:ext xmlns:c16="http://schemas.microsoft.com/office/drawing/2014/chart" uri="{C3380CC4-5D6E-409C-BE32-E72D297353CC}">
              <c16:uniqueId val="{00000001-0CEC-4794-B3E9-20AD6E9E9193}"/>
            </c:ext>
          </c:extLst>
        </c:ser>
        <c:ser>
          <c:idx val="2"/>
          <c:order val="2"/>
          <c:tx>
            <c:strRef>
              <c:f>Design_Sheet!$D$14:$D$15</c:f>
              <c:strCache>
                <c:ptCount val="1"/>
                <c:pt idx="0">
                  <c:v>Tools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Design_Sheet!$A$16:$A$27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Design_Sheet!$D$16:$D$27</c:f>
              <c:numCache>
                <c:formatCode>"₹"\ 0.0,\ "K"</c:formatCode>
                <c:ptCount val="12"/>
                <c:pt idx="0">
                  <c:v>300957.71000000002</c:v>
                </c:pt>
                <c:pt idx="1">
                  <c:v>313124.15999999997</c:v>
                </c:pt>
                <c:pt idx="2">
                  <c:v>489763.52</c:v>
                </c:pt>
                <c:pt idx="3">
                  <c:v>388752.75</c:v>
                </c:pt>
                <c:pt idx="4">
                  <c:v>396680.08</c:v>
                </c:pt>
                <c:pt idx="5">
                  <c:v>529416.17000000004</c:v>
                </c:pt>
                <c:pt idx="6">
                  <c:v>396310.59</c:v>
                </c:pt>
                <c:pt idx="7">
                  <c:v>806783.32</c:v>
                </c:pt>
                <c:pt idx="8">
                  <c:v>341122.56</c:v>
                </c:pt>
                <c:pt idx="9">
                  <c:v>436367.39</c:v>
                </c:pt>
                <c:pt idx="10">
                  <c:v>535439.94999999995</c:v>
                </c:pt>
                <c:pt idx="11">
                  <c:v>560492.51</c:v>
                </c:pt>
              </c:numCache>
            </c:numRef>
          </c:val>
          <c:extLst>
            <c:ext xmlns:c16="http://schemas.microsoft.com/office/drawing/2014/chart" uri="{C3380CC4-5D6E-409C-BE32-E72D297353CC}">
              <c16:uniqueId val="{00000002-0CEC-4794-B3E9-20AD6E9E9193}"/>
            </c:ext>
          </c:extLst>
        </c:ser>
        <c:dLbls>
          <c:dLblPos val="ctr"/>
          <c:showLegendKey val="0"/>
          <c:showVal val="1"/>
          <c:showCatName val="0"/>
          <c:showSerName val="0"/>
          <c:showPercent val="0"/>
          <c:showBubbleSize val="0"/>
        </c:dLbls>
        <c:gapWidth val="15"/>
        <c:overlap val="100"/>
        <c:axId val="54482784"/>
        <c:axId val="54483264"/>
      </c:barChart>
      <c:catAx>
        <c:axId val="5448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83264"/>
        <c:crosses val="autoZero"/>
        <c:auto val="1"/>
        <c:lblAlgn val="ctr"/>
        <c:lblOffset val="100"/>
        <c:noMultiLvlLbl val="0"/>
      </c:catAx>
      <c:valAx>
        <c:axId val="54483264"/>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82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[Manufacturing_Dashboard_Final.xlsx]Design_Sheet!PivotTable16</c:name>
    <c:fmtId val="20"/>
  </c:pivotSource>
  <c:chart>
    <c:title>
      <c:tx>
        <c:rich>
          <a:bodyPr rot="0" spcFirstLastPara="1" vertOverflow="ellipsis" vert="horz" wrap="square" anchor="ctr" anchorCtr="1"/>
          <a:lstStyle/>
          <a:p>
            <a:pPr algn="ctr" rtl="0">
              <a:defRPr sz="1600" b="1" i="0" u="none" strike="noStrike" kern="1200" cap="all" spc="0" baseline="0">
                <a:solidFill>
                  <a:sysClr val="windowText" lastClr="000000"/>
                </a:solidFill>
                <a:latin typeface="+mn-lt"/>
                <a:ea typeface="+mn-ea"/>
                <a:cs typeface="+mn-cs"/>
              </a:defRPr>
            </a:pPr>
            <a:r>
              <a:rPr lang="en-IN" sz="1600" b="0" i="0" u="none" strike="noStrike" kern="1200" cap="all" baseline="0">
                <a:solidFill>
                  <a:sysClr val="windowText" lastClr="000000"/>
                </a:solidFill>
                <a:latin typeface="+mn-lt"/>
                <a:ea typeface="+mn-ea"/>
                <a:cs typeface="+mn-cs"/>
              </a:rPr>
              <a:t>Quantity Produced by Plant </a:t>
            </a:r>
            <a:endParaRPr lang="en-US" sz="1600" b="0" i="0" u="none" strike="noStrike" kern="1200" cap="all" baseline="0">
              <a:solidFill>
                <a:sysClr val="windowText" lastClr="000000"/>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sz="1600" b="1" i="0" u="none" strike="noStrike" kern="1200" cap="all"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Design_Sheet!$B$33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19-499B-ABE8-C7E27D10AC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19-499B-ABE8-C7E27D10AC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19-499B-ABE8-C7E27D10AC79}"/>
              </c:ext>
            </c:extLst>
          </c:dPt>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Design_Sheet!$A$34:$A$36</c:f>
              <c:strCache>
                <c:ptCount val="3"/>
                <c:pt idx="0">
                  <c:v>Plant A</c:v>
                </c:pt>
                <c:pt idx="1">
                  <c:v>Plant B</c:v>
                </c:pt>
                <c:pt idx="2">
                  <c:v>Plant C</c:v>
                </c:pt>
              </c:strCache>
            </c:strRef>
          </c:cat>
          <c:val>
            <c:numRef>
              <c:f>Design_Sheet!$B$34:$B$36</c:f>
              <c:numCache>
                <c:formatCode>#,##0</c:formatCode>
                <c:ptCount val="3"/>
                <c:pt idx="0">
                  <c:v>423188</c:v>
                </c:pt>
                <c:pt idx="1">
                  <c:v>426530</c:v>
                </c:pt>
                <c:pt idx="2">
                  <c:v>424335</c:v>
                </c:pt>
              </c:numCache>
            </c:numRef>
          </c:val>
          <c:extLst>
            <c:ext xmlns:c16="http://schemas.microsoft.com/office/drawing/2014/chart" uri="{C3380CC4-5D6E-409C-BE32-E72D297353CC}">
              <c16:uniqueId val="{00000006-AB19-499B-ABE8-C7E27D10AC7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[Manufacturing_Dashboard_Final.xlsx]Design_Sheet!PivotTable17</c:name>
    <c:fmtId val="32"/>
  </c:pivotSource>
  <c:chart>
    <c:title>
      <c:tx>
        <c:rich>
          <a:bodyPr rot="0" spcFirstLastPara="1" vertOverflow="ellipsis" vert="horz" wrap="square" anchor="ctr" anchorCtr="1"/>
          <a:lstStyle/>
          <a:p>
            <a:pPr algn="ctr" rtl="0">
              <a:defRPr sz="1600" b="1" i="0" u="none" strike="noStrike" kern="1200" cap="all" spc="0" baseline="0">
                <a:solidFill>
                  <a:sysClr val="windowText" lastClr="000000"/>
                </a:solidFill>
                <a:latin typeface="+mn-lt"/>
                <a:ea typeface="+mn-ea"/>
                <a:cs typeface="+mn-cs"/>
              </a:defRPr>
            </a:pPr>
            <a:r>
              <a:rPr lang="en-IN" sz="1600" b="0" i="0" u="none" strike="noStrike" kern="1200" cap="all" baseline="0">
                <a:solidFill>
                  <a:sysClr val="windowText" lastClr="000000"/>
                </a:solidFill>
                <a:latin typeface="+mn-lt"/>
                <a:ea typeface="+mn-ea"/>
                <a:cs typeface="+mn-cs"/>
              </a:rPr>
              <a:t>Quantity Produced by Product</a:t>
            </a:r>
          </a:p>
        </c:rich>
      </c:tx>
      <c:overlay val="0"/>
      <c:spPr>
        <a:noFill/>
        <a:ln>
          <a:noFill/>
        </a:ln>
        <a:effectLst/>
      </c:spPr>
      <c:txPr>
        <a:bodyPr rot="0" spcFirstLastPara="1" vertOverflow="ellipsis" vert="horz" wrap="square" anchor="ctr" anchorCtr="1"/>
        <a:lstStyle/>
        <a:p>
          <a:pPr algn="ctr" rtl="0">
            <a:defRPr sz="1600" b="1" i="0" u="none" strike="noStrike" kern="1200" cap="all"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Design_Sheet!$E$33</c:f>
              <c:strCache>
                <c:ptCount val="1"/>
                <c:pt idx="0">
                  <c:v>Total</c:v>
                </c:pt>
              </c:strCache>
            </c:strRef>
          </c:tx>
          <c:spPr>
            <a:solidFill>
              <a:schemeClr val="accent4"/>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Design_Sheet!$D$34:$D$38</c:f>
              <c:strCache>
                <c:ptCount val="5"/>
                <c:pt idx="0">
                  <c:v>Gadget X</c:v>
                </c:pt>
                <c:pt idx="1">
                  <c:v>Gadget Y</c:v>
                </c:pt>
                <c:pt idx="2">
                  <c:v>Tool Z</c:v>
                </c:pt>
                <c:pt idx="3">
                  <c:v>Widget A</c:v>
                </c:pt>
                <c:pt idx="4">
                  <c:v>Widget B</c:v>
                </c:pt>
              </c:strCache>
            </c:strRef>
          </c:cat>
          <c:val>
            <c:numRef>
              <c:f>Design_Sheet!$E$34:$E$38</c:f>
              <c:numCache>
                <c:formatCode>General</c:formatCode>
                <c:ptCount val="5"/>
                <c:pt idx="0">
                  <c:v>231752</c:v>
                </c:pt>
                <c:pt idx="1">
                  <c:v>281764</c:v>
                </c:pt>
                <c:pt idx="2">
                  <c:v>231054</c:v>
                </c:pt>
                <c:pt idx="3">
                  <c:v>241563</c:v>
                </c:pt>
                <c:pt idx="4">
                  <c:v>287920</c:v>
                </c:pt>
              </c:numCache>
            </c:numRef>
          </c:val>
          <c:extLst>
            <c:ext xmlns:c16="http://schemas.microsoft.com/office/drawing/2014/chart" uri="{C3380CC4-5D6E-409C-BE32-E72D297353CC}">
              <c16:uniqueId val="{00000000-0A69-4058-BFCE-55EBD5069215}"/>
            </c:ext>
          </c:extLst>
        </c:ser>
        <c:dLbls>
          <c:dLblPos val="outEnd"/>
          <c:showLegendKey val="0"/>
          <c:showVal val="1"/>
          <c:showCatName val="0"/>
          <c:showSerName val="0"/>
          <c:showPercent val="0"/>
          <c:showBubbleSize val="0"/>
        </c:dLbls>
        <c:gapWidth val="75"/>
        <c:overlap val="-27"/>
        <c:axId val="2069954496"/>
        <c:axId val="2069954976"/>
      </c:barChart>
      <c:catAx>
        <c:axId val="206995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9954976"/>
        <c:crosses val="autoZero"/>
        <c:auto val="1"/>
        <c:lblAlgn val="ctr"/>
        <c:lblOffset val="100"/>
        <c:noMultiLvlLbl val="0"/>
      </c:catAx>
      <c:valAx>
        <c:axId val="2069954976"/>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9954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[Manufacturing_Dashboard_Final.xlsx]Design_Sheet!PivotTable18</c:name>
    <c:fmtId val="26"/>
  </c:pivotSource>
  <c:chart>
    <c:title>
      <c:tx>
        <c:rich>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r>
              <a:rPr lang="en-IN" b="0"/>
              <a:t>Monthly Production Trend </a:t>
            </a:r>
            <a:endParaRPr lang="en-US" b="0"/>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19050" cap="rnd" cmpd="sng">
            <a:solidFill>
              <a:schemeClr val="accent1"/>
            </a:solidFill>
            <a:round/>
          </a:ln>
          <a:effectLst>
            <a:outerShdw dist="25400" dir="2700000" algn="tl" rotWithShape="0">
              <a:schemeClr val="accent1"/>
            </a:outerShdw>
          </a:effectLst>
        </c:spPr>
        <c:marker>
          <c:symbol val="circle"/>
          <c:size val="6"/>
          <c:spPr>
            <a:solidFill>
              <a:schemeClr val="bg1"/>
            </a:solidFill>
            <a:ln w="22225">
              <a:solidFill>
                <a:schemeClr val="accent1"/>
              </a:solidFill>
              <a:round/>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19050" cap="rnd" cmpd="sng">
            <a:solidFill>
              <a:schemeClr val="accent1"/>
            </a:solidFill>
            <a:round/>
          </a:ln>
          <a:effectLst>
            <a:outerShdw dist="25400" dir="2700000" algn="tl" rotWithShape="0">
              <a:schemeClr val="accent1"/>
            </a:outerShdw>
          </a:effectLst>
        </c:spPr>
        <c:marker>
          <c:symbol val="circle"/>
          <c:size val="6"/>
          <c:spPr>
            <a:solidFill>
              <a:schemeClr val="bg1"/>
            </a:solidFill>
            <a:ln w="22225">
              <a:solidFill>
                <a:schemeClr val="accent1"/>
              </a:solidFill>
              <a:round/>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19050" cap="rnd" cmpd="sng">
            <a:solidFill>
              <a:schemeClr val="accent1"/>
            </a:solidFill>
            <a:round/>
          </a:ln>
          <a:effectLst>
            <a:outerShdw sx="1000" sy="1000" algn="tl" rotWithShape="0">
              <a:schemeClr val="accent1"/>
            </a:outerShdw>
          </a:effectLst>
        </c:spPr>
        <c:marker>
          <c:symbol val="circle"/>
          <c:size val="6"/>
          <c:spPr>
            <a:solidFill>
              <a:schemeClr val="bg1"/>
            </a:solidFill>
            <a:ln w="22225">
              <a:solidFill>
                <a:schemeClr val="accent1"/>
              </a:solidFill>
              <a:round/>
            </a:ln>
            <a:effectLst>
              <a:outerShdw sx="1000" sy="1000" algn="tl" rotWithShape="0">
                <a:schemeClr val="accent1"/>
              </a:outerShdw>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Design_Sheet!$B$41</c:f>
              <c:strCache>
                <c:ptCount val="1"/>
                <c:pt idx="0">
                  <c:v>Total</c:v>
                </c:pt>
              </c:strCache>
            </c:strRef>
          </c:tx>
          <c:spPr>
            <a:ln w="19050" cap="rnd" cmpd="sng">
              <a:solidFill>
                <a:schemeClr val="accent1"/>
              </a:solidFill>
              <a:round/>
            </a:ln>
            <a:effectLst>
              <a:outerShdw sx="1000" sy="1000" algn="tl" rotWithShape="0">
                <a:schemeClr val="accent1"/>
              </a:outerShdw>
            </a:effectLst>
          </c:spPr>
          <c:marker>
            <c:symbol val="circle"/>
            <c:size val="6"/>
            <c:spPr>
              <a:solidFill>
                <a:schemeClr val="bg1"/>
              </a:solidFill>
              <a:ln w="22225">
                <a:solidFill>
                  <a:schemeClr val="accent1"/>
                </a:solidFill>
                <a:round/>
              </a:ln>
              <a:effectLst>
                <a:outerShdw sx="1000" sy="1000" algn="tl" rotWithShape="0">
                  <a:schemeClr val="accent1"/>
                </a:outerShdw>
              </a:effectLst>
            </c:spPr>
          </c:marker>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Design_Sheet!$A$42:$A$53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Design_Sheet!$B$42:$B$53</c:f>
              <c:numCache>
                <c:formatCode>#,##0</c:formatCode>
                <c:ptCount val="12"/>
                <c:pt idx="0">
                  <c:v>127436</c:v>
                </c:pt>
                <c:pt idx="1">
                  <c:v>102034</c:v>
                </c:pt>
                <c:pt idx="2">
                  <c:v>96868</c:v>
                </c:pt>
                <c:pt idx="3">
                  <c:v>120793</c:v>
                </c:pt>
                <c:pt idx="4">
                  <c:v>102350</c:v>
                </c:pt>
                <c:pt idx="5">
                  <c:v>116638</c:v>
                </c:pt>
                <c:pt idx="6">
                  <c:v>90311</c:v>
                </c:pt>
                <c:pt idx="7">
                  <c:v>121766</c:v>
                </c:pt>
                <c:pt idx="8">
                  <c:v>118609</c:v>
                </c:pt>
                <c:pt idx="9">
                  <c:v>80138</c:v>
                </c:pt>
                <c:pt idx="10">
                  <c:v>88228</c:v>
                </c:pt>
                <c:pt idx="11">
                  <c:v>108882</c:v>
                </c:pt>
              </c:numCache>
            </c:numRef>
          </c:val>
          <c:smooth val="0"/>
          <c:extLst>
            <c:ext xmlns:c16="http://schemas.microsoft.com/office/drawing/2014/chart" uri="{C3380CC4-5D6E-409C-BE32-E72D297353CC}">
              <c16:uniqueId val="{00000000-0A0A-43D2-84E2-DCB78CC2C90D}"/>
            </c:ext>
          </c:extLst>
        </c:ser>
        <c:dLbls>
          <c:dLblPos val="ctr"/>
          <c:showLegendKey val="0"/>
          <c:showVal val="1"/>
          <c:showCatName val="0"/>
          <c:showSerName val="0"/>
          <c:showPercent val="0"/>
          <c:showBubbleSize val="0"/>
        </c:dLbls>
        <c:dropLines>
          <c:spPr>
            <a:ln w="9525" cap="flat" cmpd="sng" algn="ct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round/>
            </a:ln>
            <a:effectLst/>
          </c:spPr>
        </c:dropLines>
        <c:marker val="1"/>
        <c:smooth val="0"/>
        <c:axId val="1752060512"/>
        <c:axId val="1752073472"/>
      </c:lineChart>
      <c:catAx>
        <c:axId val="1752060512"/>
        <c:scaling>
          <c:orientation val="minMax"/>
        </c:scaling>
        <c:delete val="0"/>
        <c:axPos val="b"/>
        <c:numFmt formatCode="General" sourceLinked="1"/>
        <c:majorTickMark val="none"/>
        <c:minorTickMark val="none"/>
        <c:tickLblPos val="nextTo"/>
        <c:spPr>
          <a:noFill/>
          <a:ln w="12700" cap="flat" cmpd="sng" algn="ctr">
            <a:solidFill>
              <a:schemeClr val="accent1"/>
            </a:solidFill>
            <a:round/>
          </a:ln>
          <a:effectLst/>
        </c:spPr>
        <c:txPr>
          <a:bodyPr rot="-60000000" spcFirstLastPara="1" vertOverflow="ellipsis" vert="horz" wrap="square" anchor="ctr" anchorCtr="1"/>
          <a:lstStyle/>
          <a:p>
            <a:pPr>
              <a:defRPr sz="900" b="0" i="0" u="none" strike="noStrike" kern="1200" spc="100" baseline="0">
                <a:solidFill>
                  <a:schemeClr val="tx1"/>
                </a:solidFill>
                <a:latin typeface="+mn-lt"/>
                <a:ea typeface="+mn-ea"/>
                <a:cs typeface="+mn-cs"/>
              </a:defRPr>
            </a:pPr>
            <a:endParaRPr lang="en-US"/>
          </a:p>
        </c:txPr>
        <c:crossAx val="1752073472"/>
        <c:crosses val="autoZero"/>
        <c:auto val="1"/>
        <c:lblAlgn val="ctr"/>
        <c:lblOffset val="100"/>
        <c:noMultiLvlLbl val="0"/>
      </c:catAx>
      <c:valAx>
        <c:axId val="1752073472"/>
        <c:scaling>
          <c:orientation val="minMax"/>
        </c:scaling>
        <c:delete val="0"/>
        <c:axPos val="l"/>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52060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[Manufacturing_Dashboard_Final.xlsx]Design_Sheet!PivotTable3</c:name>
    <c:fmtId val="28"/>
  </c:pivotSource>
  <c:chart>
    <c:title>
      <c:tx>
        <c:rich>
          <a:bodyPr rot="0" spcFirstLastPara="1" vertOverflow="ellipsis" vert="horz" wrap="square" anchor="ctr" anchorCtr="1"/>
          <a:lstStyle/>
          <a:p>
            <a:pPr algn="ctr" rtl="0">
              <a:defRPr lang="en-IN" sz="1600" b="1" i="0" u="none" strike="noStrike" kern="1200" cap="all" spc="0" baseline="0">
                <a:solidFill>
                  <a:sysClr val="windowText" lastClr="000000"/>
                </a:solidFill>
                <a:latin typeface="+mn-lt"/>
                <a:ea typeface="+mn-ea"/>
                <a:cs typeface="+mn-cs"/>
              </a:defRPr>
            </a:pPr>
            <a:r>
              <a:rPr lang="en-IN" sz="1600" b="0" i="0" u="none" strike="noStrike" kern="1200" cap="all" baseline="0">
                <a:solidFill>
                  <a:sysClr val="windowText" lastClr="000000"/>
                </a:solidFill>
                <a:latin typeface="+mn-lt"/>
                <a:ea typeface="+mn-ea"/>
                <a:cs typeface="+mn-cs"/>
              </a:rPr>
              <a:t>Defects Distribution </a:t>
            </a:r>
          </a:p>
        </c:rich>
      </c:tx>
      <c:overlay val="0"/>
      <c:spPr>
        <a:noFill/>
        <a:ln>
          <a:noFill/>
        </a:ln>
        <a:effectLst/>
      </c:spPr>
      <c:txPr>
        <a:bodyPr rot="0" spcFirstLastPara="1" vertOverflow="ellipsis" vert="horz" wrap="square" anchor="ctr" anchorCtr="1"/>
        <a:lstStyle/>
        <a:p>
          <a:pPr algn="ctr" rtl="0">
            <a:defRPr lang="en-IN" sz="1600" b="1" i="0" u="none" strike="noStrike" kern="1200" cap="all" spc="0" baseline="0">
              <a:solidFill>
                <a:sysClr val="windowText" lastClr="000000"/>
              </a:solidFill>
              <a:latin typeface="+mn-lt"/>
              <a:ea typeface="+mn-ea"/>
              <a:cs typeface="+mn-cs"/>
            </a:defRPr>
          </a:pPr>
          <a:endParaRPr lang="en-US"/>
        </a:p>
      </c:txPr>
    </c:title>
    <c:autoTitleDeleted val="0"/>
    <c:pivotFmts>
      <c:pivotFmt>
        <c:idx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c:spPr>
      </c:pivotFmt>
      <c:pivotFmt>
        <c:idx val="2"/>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Design_Sheet!$H$33</c:f>
              <c:strCache>
                <c:ptCount val="1"/>
                <c:pt idx="0">
                  <c:v>Total</c:v>
                </c:pt>
              </c:strCache>
            </c:strRef>
          </c:tx>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Design_Sheet!$G$34:$G$39</c:f>
              <c:strCache>
                <c:ptCount val="6"/>
                <c:pt idx="0">
                  <c:v>0-9</c:v>
                </c:pt>
                <c:pt idx="1">
                  <c:v>10-19</c:v>
                </c:pt>
                <c:pt idx="2">
                  <c:v>20-29</c:v>
                </c:pt>
                <c:pt idx="3">
                  <c:v>30-39</c:v>
                </c:pt>
                <c:pt idx="4">
                  <c:v>40-49</c:v>
                </c:pt>
                <c:pt idx="5">
                  <c:v>50+</c:v>
                </c:pt>
              </c:strCache>
            </c:strRef>
          </c:cat>
          <c:val>
            <c:numRef>
              <c:f>Design_Sheet!$H$34:$H$39</c:f>
              <c:numCache>
                <c:formatCode>General</c:formatCode>
                <c:ptCount val="6"/>
                <c:pt idx="0">
                  <c:v>108</c:v>
                </c:pt>
                <c:pt idx="1">
                  <c:v>83</c:v>
                </c:pt>
                <c:pt idx="2">
                  <c:v>102</c:v>
                </c:pt>
                <c:pt idx="3">
                  <c:v>91</c:v>
                </c:pt>
                <c:pt idx="4">
                  <c:v>106</c:v>
                </c:pt>
                <c:pt idx="5">
                  <c:v>10</c:v>
                </c:pt>
              </c:numCache>
            </c:numRef>
          </c:val>
          <c:extLst>
            <c:ext xmlns:c16="http://schemas.microsoft.com/office/drawing/2014/chart" uri="{C3380CC4-5D6E-409C-BE32-E72D297353CC}">
              <c16:uniqueId val="{00000000-9A4C-42FF-BC90-524A2C9332D4}"/>
            </c:ext>
          </c:extLst>
        </c:ser>
        <c:dLbls>
          <c:showLegendKey val="0"/>
          <c:showVal val="0"/>
          <c:showCatName val="0"/>
          <c:showSerName val="0"/>
          <c:showPercent val="0"/>
          <c:showBubbleSize val="0"/>
        </c:dLbls>
        <c:gapWidth val="30"/>
        <c:overlap val="-27"/>
        <c:axId val="1274707439"/>
        <c:axId val="1274707919"/>
      </c:barChart>
      <c:catAx>
        <c:axId val="127470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74707919"/>
        <c:crosses val="autoZero"/>
        <c:auto val="1"/>
        <c:lblAlgn val="ctr"/>
        <c:lblOffset val="100"/>
        <c:noMultiLvlLbl val="0"/>
      </c:catAx>
      <c:valAx>
        <c:axId val="127470791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7470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[Manufacturing_Dashboard_Final.xlsx]Design_Sheet!PivotTable4</c:name>
    <c:fmtId val="35"/>
  </c:pivotSource>
  <c:chart>
    <c:title>
      <c:tx>
        <c:rich>
          <a:bodyPr rot="0" spcFirstLastPara="1" vertOverflow="ellipsis" vert="horz" wrap="square" anchor="ctr" anchorCtr="1"/>
          <a:lstStyle/>
          <a:p>
            <a:pPr algn="ctr" rtl="0">
              <a:defRPr sz="1600" b="1" i="0" u="none" strike="noStrike" kern="1200" cap="all" spc="0" baseline="0">
                <a:solidFill>
                  <a:sysClr val="windowText" lastClr="000000"/>
                </a:solidFill>
                <a:latin typeface="+mn-lt"/>
                <a:ea typeface="+mn-ea"/>
                <a:cs typeface="+mn-cs"/>
              </a:defRPr>
            </a:pPr>
            <a:r>
              <a:rPr lang="en-IN" sz="1600" b="0" i="0" u="none" strike="noStrike" kern="1200" cap="all" baseline="0">
                <a:solidFill>
                  <a:sysClr val="windowText" lastClr="000000"/>
                </a:solidFill>
                <a:latin typeface="+mn-lt"/>
                <a:ea typeface="+mn-ea"/>
                <a:cs typeface="+mn-cs"/>
              </a:rPr>
              <a:t>Defects by Product and Plant </a:t>
            </a:r>
          </a:p>
        </c:rich>
      </c:tx>
      <c:overlay val="0"/>
      <c:spPr>
        <a:noFill/>
        <a:ln>
          <a:noFill/>
        </a:ln>
        <a:effectLst/>
      </c:spPr>
      <c:txPr>
        <a:bodyPr rot="0" spcFirstLastPara="1" vertOverflow="ellipsis" vert="horz" wrap="square" anchor="ctr" anchorCtr="1"/>
        <a:lstStyle/>
        <a:p>
          <a:pPr algn="ctr" rtl="0">
            <a:defRPr sz="1600" b="1" i="0" u="none" strike="noStrike" kern="1200" cap="all" spc="0" baseline="0">
              <a:solidFill>
                <a:sysClr val="windowText" lastClr="000000"/>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5F95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5F95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5F95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s>
    <c:plotArea>
      <c:layout/>
      <c:barChart>
        <c:barDir val="col"/>
        <c:grouping val="percentStacked"/>
        <c:varyColors val="0"/>
        <c:ser>
          <c:idx val="0"/>
          <c:order val="0"/>
          <c:tx>
            <c:strRef>
              <c:f>Design_Sheet!$H$43:$H$44</c:f>
              <c:strCache>
                <c:ptCount val="1"/>
                <c:pt idx="0">
                  <c:v>Plant A</c:v>
                </c:pt>
              </c:strCache>
            </c:strRef>
          </c:tx>
          <c:spPr>
            <a:solidFill>
              <a:srgbClr val="92D05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Design_Sheet!$G$45:$G$49</c:f>
              <c:strCache>
                <c:ptCount val="5"/>
                <c:pt idx="0">
                  <c:v>Gadget X</c:v>
                </c:pt>
                <c:pt idx="1">
                  <c:v>Gadget Y</c:v>
                </c:pt>
                <c:pt idx="2">
                  <c:v>Tool Z</c:v>
                </c:pt>
                <c:pt idx="3">
                  <c:v>Widget A</c:v>
                </c:pt>
                <c:pt idx="4">
                  <c:v>Widget B</c:v>
                </c:pt>
              </c:strCache>
            </c:strRef>
          </c:cat>
          <c:val>
            <c:numRef>
              <c:f>Design_Sheet!$H$45:$H$49</c:f>
              <c:numCache>
                <c:formatCode>General</c:formatCode>
                <c:ptCount val="5"/>
                <c:pt idx="0">
                  <c:v>24</c:v>
                </c:pt>
                <c:pt idx="1">
                  <c:v>37</c:v>
                </c:pt>
                <c:pt idx="2">
                  <c:v>27</c:v>
                </c:pt>
                <c:pt idx="3">
                  <c:v>41</c:v>
                </c:pt>
                <c:pt idx="4">
                  <c:v>34</c:v>
                </c:pt>
              </c:numCache>
            </c:numRef>
          </c:val>
          <c:extLst>
            <c:ext xmlns:c16="http://schemas.microsoft.com/office/drawing/2014/chart" uri="{C3380CC4-5D6E-409C-BE32-E72D297353CC}">
              <c16:uniqueId val="{00000000-010D-4F28-B0F3-76C78694AE4F}"/>
            </c:ext>
          </c:extLst>
        </c:ser>
        <c:ser>
          <c:idx val="1"/>
          <c:order val="1"/>
          <c:tx>
            <c:strRef>
              <c:f>Design_Sheet!$I$43:$I$44</c:f>
              <c:strCache>
                <c:ptCount val="1"/>
                <c:pt idx="0">
                  <c:v>Plant B</c:v>
                </c:pt>
              </c:strCache>
            </c:strRef>
          </c:tx>
          <c:spPr>
            <a:solidFill>
              <a:srgbClr val="00B0F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Design_Sheet!$G$45:$G$49</c:f>
              <c:strCache>
                <c:ptCount val="5"/>
                <c:pt idx="0">
                  <c:v>Gadget X</c:v>
                </c:pt>
                <c:pt idx="1">
                  <c:v>Gadget Y</c:v>
                </c:pt>
                <c:pt idx="2">
                  <c:v>Tool Z</c:v>
                </c:pt>
                <c:pt idx="3">
                  <c:v>Widget A</c:v>
                </c:pt>
                <c:pt idx="4">
                  <c:v>Widget B</c:v>
                </c:pt>
              </c:strCache>
            </c:strRef>
          </c:cat>
          <c:val>
            <c:numRef>
              <c:f>Design_Sheet!$I$45:$I$49</c:f>
              <c:numCache>
                <c:formatCode>General</c:formatCode>
                <c:ptCount val="5"/>
                <c:pt idx="0">
                  <c:v>33</c:v>
                </c:pt>
                <c:pt idx="1">
                  <c:v>39</c:v>
                </c:pt>
                <c:pt idx="2">
                  <c:v>34</c:v>
                </c:pt>
                <c:pt idx="3">
                  <c:v>26</c:v>
                </c:pt>
                <c:pt idx="4">
                  <c:v>32</c:v>
                </c:pt>
              </c:numCache>
            </c:numRef>
          </c:val>
          <c:extLst>
            <c:ext xmlns:c16="http://schemas.microsoft.com/office/drawing/2014/chart" uri="{C3380CC4-5D6E-409C-BE32-E72D297353CC}">
              <c16:uniqueId val="{00000000-AC14-44A6-BEA0-BFC3875EB7FE}"/>
            </c:ext>
          </c:extLst>
        </c:ser>
        <c:ser>
          <c:idx val="2"/>
          <c:order val="2"/>
          <c:tx>
            <c:strRef>
              <c:f>Design_Sheet!$J$43:$J$44</c:f>
              <c:strCache>
                <c:ptCount val="1"/>
                <c:pt idx="0">
                  <c:v>Plant C</c:v>
                </c:pt>
              </c:strCache>
            </c:strRef>
          </c:tx>
          <c:spPr>
            <a:solidFill>
              <a:srgbClr val="D5F95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Design_Sheet!$G$45:$G$49</c:f>
              <c:strCache>
                <c:ptCount val="5"/>
                <c:pt idx="0">
                  <c:v>Gadget X</c:v>
                </c:pt>
                <c:pt idx="1">
                  <c:v>Gadget Y</c:v>
                </c:pt>
                <c:pt idx="2">
                  <c:v>Tool Z</c:v>
                </c:pt>
                <c:pt idx="3">
                  <c:v>Widget A</c:v>
                </c:pt>
                <c:pt idx="4">
                  <c:v>Widget B</c:v>
                </c:pt>
              </c:strCache>
            </c:strRef>
          </c:cat>
          <c:val>
            <c:numRef>
              <c:f>Design_Sheet!$J$45:$J$49</c:f>
              <c:numCache>
                <c:formatCode>General</c:formatCode>
                <c:ptCount val="5"/>
                <c:pt idx="0">
                  <c:v>37</c:v>
                </c:pt>
                <c:pt idx="1">
                  <c:v>35</c:v>
                </c:pt>
                <c:pt idx="2">
                  <c:v>28</c:v>
                </c:pt>
                <c:pt idx="3">
                  <c:v>27</c:v>
                </c:pt>
                <c:pt idx="4">
                  <c:v>46</c:v>
                </c:pt>
              </c:numCache>
            </c:numRef>
          </c:val>
          <c:extLst>
            <c:ext xmlns:c16="http://schemas.microsoft.com/office/drawing/2014/chart" uri="{C3380CC4-5D6E-409C-BE32-E72D297353CC}">
              <c16:uniqueId val="{00000001-AC14-44A6-BEA0-BFC3875EB7FE}"/>
            </c:ext>
          </c:extLst>
        </c:ser>
        <c:dLbls>
          <c:dLblPos val="ctr"/>
          <c:showLegendKey val="0"/>
          <c:showVal val="1"/>
          <c:showCatName val="0"/>
          <c:showSerName val="0"/>
          <c:showPercent val="0"/>
          <c:showBubbleSize val="0"/>
        </c:dLbls>
        <c:gapWidth val="20"/>
        <c:overlap val="100"/>
        <c:axId val="2005011167"/>
        <c:axId val="2005025567"/>
      </c:barChart>
      <c:catAx>
        <c:axId val="200501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05025567"/>
        <c:crosses val="autoZero"/>
        <c:auto val="1"/>
        <c:lblAlgn val="ctr"/>
        <c:lblOffset val="100"/>
        <c:noMultiLvlLbl val="0"/>
      </c:catAx>
      <c:valAx>
        <c:axId val="2005025567"/>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0501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[Manufacturing_Dashboard_Final.xlsx]Design_Sheet!PivotTable5</c:name>
    <c:fmtId val="33"/>
  </c:pivotSource>
  <c:chart>
    <c:title>
      <c:tx>
        <c:rich>
          <a:bodyPr rot="0" spcFirstLastPara="1" vertOverflow="ellipsis" vert="horz" wrap="square" anchor="ctr" anchorCtr="1"/>
          <a:lstStyle/>
          <a:p>
            <a:pPr algn="ctr" rtl="0">
              <a:defRPr sz="1600" b="1" i="0" u="none" strike="noStrike" kern="1200" cap="all" spc="100" normalizeH="0" baseline="0">
                <a:solidFill>
                  <a:sysClr val="windowText" lastClr="000000"/>
                </a:solidFill>
                <a:latin typeface="+mn-lt"/>
                <a:ea typeface="+mn-ea"/>
                <a:cs typeface="+mn-cs"/>
              </a:defRPr>
            </a:pPr>
            <a:r>
              <a:rPr lang="en-IN" sz="1600" b="0" i="0" u="none" strike="noStrike" kern="1200" cap="all" baseline="0">
                <a:solidFill>
                  <a:sysClr val="windowText" lastClr="000000"/>
                </a:solidFill>
                <a:latin typeface="+mn-lt"/>
                <a:ea typeface="+mn-ea"/>
                <a:cs typeface="+mn-cs"/>
              </a:rPr>
              <a:t>Defects Trend over Time </a:t>
            </a:r>
          </a:p>
        </c:rich>
      </c:tx>
      <c:overlay val="0"/>
      <c:spPr>
        <a:noFill/>
        <a:ln>
          <a:noFill/>
        </a:ln>
        <a:effectLst/>
      </c:spPr>
      <c:txPr>
        <a:bodyPr rot="0" spcFirstLastPara="1" vertOverflow="ellipsis" vert="horz" wrap="square" anchor="ctr" anchorCtr="1"/>
        <a:lstStyle/>
        <a:p>
          <a:pPr algn="ctr" rtl="0">
            <a:defRPr sz="1600" b="1" i="0" u="none" strike="noStrike" kern="1200" cap="all" spc="100" normalizeH="0" baseline="0">
              <a:solidFill>
                <a:sysClr val="windowText" lastClr="000000"/>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15875" cap="rnd" cmpd="sng">
            <a:solidFill>
              <a:schemeClr val="accent2"/>
            </a:solidFill>
            <a:round/>
          </a:ln>
          <a:effectLst>
            <a:outerShdw sx="1000" sy="1000" algn="tl" rotWithShape="0">
              <a:schemeClr val="accent1"/>
            </a:outerShdw>
          </a:effectLst>
        </c:spPr>
        <c:marker>
          <c:symbol val="circle"/>
          <c:size val="5"/>
          <c:spPr>
            <a:solidFill>
              <a:schemeClr val="bg1"/>
            </a:solidFill>
            <a:ln w="22225">
              <a:solidFill>
                <a:schemeClr val="accent2"/>
              </a:solidFill>
              <a:round/>
            </a:ln>
            <a:effectLst>
              <a:outerShdw sx="1000" sy="1000" algn="tl" rotWithShape="0">
                <a:schemeClr val="accent1"/>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15875" cap="rnd" cmpd="sng">
            <a:solidFill>
              <a:schemeClr val="accent2"/>
            </a:solidFill>
            <a:round/>
          </a:ln>
          <a:effectLst>
            <a:outerShdw sx="1000" sy="1000" algn="tl" rotWithShape="0">
              <a:schemeClr val="accent1"/>
            </a:outerShdw>
          </a:effectLst>
        </c:spPr>
        <c:marker>
          <c:symbol val="circle"/>
          <c:size val="5"/>
          <c:spPr>
            <a:solidFill>
              <a:schemeClr val="bg1"/>
            </a:solidFill>
            <a:ln w="22225">
              <a:solidFill>
                <a:schemeClr val="accent2"/>
              </a:solidFill>
              <a:round/>
            </a:ln>
            <a:effectLst>
              <a:outerShdw sx="1000" sy="1000" algn="tl" rotWithShape="0">
                <a:schemeClr val="accent1"/>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cmpd="sng">
            <a:solidFill>
              <a:schemeClr val="accent2"/>
            </a:solidFill>
            <a:round/>
          </a:ln>
          <a:effectLst>
            <a:outerShdw sx="1000" sy="1000" algn="tl" rotWithShape="0">
              <a:schemeClr val="accent1"/>
            </a:outerShdw>
          </a:effectLst>
        </c:spPr>
        <c:marker>
          <c:symbol val="circle"/>
          <c:size val="5"/>
          <c:spPr>
            <a:solidFill>
              <a:schemeClr val="bg1"/>
            </a:solidFill>
            <a:ln w="22225">
              <a:solidFill>
                <a:schemeClr val="accent2"/>
              </a:solidFill>
              <a:round/>
            </a:ln>
            <a:effectLst>
              <a:outerShdw sx="1000" sy="1000" algn="tl" rotWithShape="0">
                <a:schemeClr val="accent1"/>
              </a:outerShdw>
            </a:effectLst>
          </c:spPr>
        </c:marker>
        <c:dLbl>
          <c:idx val="0"/>
          <c:numFmt formatCode="#,##0" sourceLinked="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Design_Sheet!$M$33</c:f>
              <c:strCache>
                <c:ptCount val="1"/>
                <c:pt idx="0">
                  <c:v>Total</c:v>
                </c:pt>
              </c:strCache>
            </c:strRef>
          </c:tx>
          <c:spPr>
            <a:ln w="25400" cap="rnd" cmpd="sng">
              <a:solidFill>
                <a:schemeClr val="accent2"/>
              </a:solidFill>
              <a:round/>
            </a:ln>
            <a:effectLst>
              <a:outerShdw sx="1000" sy="1000" algn="tl" rotWithShape="0">
                <a:schemeClr val="accent1"/>
              </a:outerShdw>
            </a:effectLst>
          </c:spPr>
          <c:marker>
            <c:symbol val="circle"/>
            <c:size val="5"/>
            <c:spPr>
              <a:solidFill>
                <a:schemeClr val="bg1"/>
              </a:solidFill>
              <a:ln w="22225">
                <a:solidFill>
                  <a:schemeClr val="accent2"/>
                </a:solidFill>
                <a:round/>
              </a:ln>
              <a:effectLst>
                <a:outerShdw sx="1000" sy="1000" algn="tl" rotWithShape="0">
                  <a:schemeClr val="accent1"/>
                </a:outerShdw>
              </a:effectLst>
            </c:spPr>
          </c:marker>
          <c:dLbls>
            <c:numFmt formatCode="#,##0" sourceLinked="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Design_Sheet!$L$34:$L$45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Design_Sheet!$M$34:$M$45</c:f>
              <c:numCache>
                <c:formatCode>General</c:formatCode>
                <c:ptCount val="12"/>
                <c:pt idx="0">
                  <c:v>1061</c:v>
                </c:pt>
                <c:pt idx="1">
                  <c:v>1062</c:v>
                </c:pt>
                <c:pt idx="2">
                  <c:v>905</c:v>
                </c:pt>
                <c:pt idx="3">
                  <c:v>1327</c:v>
                </c:pt>
                <c:pt idx="4">
                  <c:v>1107</c:v>
                </c:pt>
                <c:pt idx="5">
                  <c:v>949</c:v>
                </c:pt>
                <c:pt idx="6">
                  <c:v>1142</c:v>
                </c:pt>
                <c:pt idx="7">
                  <c:v>1303</c:v>
                </c:pt>
                <c:pt idx="8">
                  <c:v>1100</c:v>
                </c:pt>
                <c:pt idx="9">
                  <c:v>820</c:v>
                </c:pt>
                <c:pt idx="10">
                  <c:v>827</c:v>
                </c:pt>
                <c:pt idx="11">
                  <c:v>1012</c:v>
                </c:pt>
              </c:numCache>
            </c:numRef>
          </c:val>
          <c:smooth val="0"/>
          <c:extLst>
            <c:ext xmlns:c16="http://schemas.microsoft.com/office/drawing/2014/chart" uri="{C3380CC4-5D6E-409C-BE32-E72D297353CC}">
              <c16:uniqueId val="{00000000-B286-4DA2-89B9-28FBDB98A0FB}"/>
            </c:ext>
          </c:extLst>
        </c:ser>
        <c:dLbls>
          <c:dLblPos val="t"/>
          <c:showLegendKey val="0"/>
          <c:showVal val="1"/>
          <c:showCatName val="0"/>
          <c:showSerName val="0"/>
          <c:showPercent val="0"/>
          <c:showBubbleSize val="0"/>
        </c:dLbls>
        <c:dropLines>
          <c:spPr>
            <a:ln w="952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dropLines>
        <c:marker val="1"/>
        <c:smooth val="0"/>
        <c:axId val="2119113759"/>
        <c:axId val="2119123839"/>
      </c:lineChart>
      <c:catAx>
        <c:axId val="2119113759"/>
        <c:scaling>
          <c:orientation val="minMax"/>
        </c:scaling>
        <c:delete val="0"/>
        <c:axPos val="b"/>
        <c:numFmt formatCode="General" sourceLinked="1"/>
        <c:majorTickMark val="none"/>
        <c:minorTickMark val="none"/>
        <c:tickLblPos val="nextTo"/>
        <c:spPr>
          <a:noFill/>
          <a:ln w="12700" cap="flat" cmpd="sng" algn="ctr">
            <a:solidFill>
              <a:schemeClr val="accent2"/>
            </a:solidFill>
            <a:round/>
          </a:ln>
          <a:effectLst/>
        </c:spPr>
        <c:txPr>
          <a:bodyPr rot="-60000000" spcFirstLastPara="1" vertOverflow="ellipsis" vert="horz" wrap="square" anchor="ctr" anchorCtr="1"/>
          <a:lstStyle/>
          <a:p>
            <a:pPr>
              <a:defRPr sz="900" b="0" i="0" u="none" strike="noStrike" kern="1200" spc="100" baseline="0">
                <a:solidFill>
                  <a:schemeClr val="tx1"/>
                </a:solidFill>
                <a:latin typeface="+mn-lt"/>
                <a:ea typeface="+mn-ea"/>
                <a:cs typeface="+mn-cs"/>
              </a:defRPr>
            </a:pPr>
            <a:endParaRPr lang="en-US"/>
          </a:p>
        </c:txPr>
        <c:crossAx val="2119123839"/>
        <c:crosses val="autoZero"/>
        <c:auto val="1"/>
        <c:lblAlgn val="ctr"/>
        <c:lblOffset val="100"/>
        <c:noMultiLvlLbl val="0"/>
      </c:catAx>
      <c:valAx>
        <c:axId val="21191238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1911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[Manufacturing_Dashboard_Final.xlsx]Design_Sheet!PivotTable6</c:name>
    <c:fmtId val="31"/>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a:t>Revenue by Plant </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1"/>
        <c:dLbl>
          <c:idx val="0"/>
          <c:tx>
            <c:rich>
              <a:bodyPr/>
              <a:lstStyle/>
              <a:p>
                <a:fld id="{E3AEE58A-DD89-406E-B92A-974553A713CE}" type="CATEGORYNAME">
                  <a:rPr lang="en-US"/>
                  <a:pPr/>
                  <a:t>[CATEGORY NAME]</a:t>
                </a:fld>
                <a:r>
                  <a:rPr lang="en-US" baseline="0"/>
                  <a:t>, </a:t>
                </a:r>
                <a:br>
                  <a:rPr lang="en-US" baseline="0"/>
                </a:br>
                <a:fld id="{D9884C31-4532-4F12-A2F1-F8733FF45322}" type="VALUE">
                  <a:rPr lang="en-US" baseline="0"/>
                  <a:pPr/>
                  <a:t>[VALUE]</a:t>
                </a:fld>
                <a:r>
                  <a:rPr lang="en-US" baseline="0"/>
                  <a:t>, </a:t>
                </a:r>
                <a:fld id="{BA206657-0878-4916-B482-E6A2782E735A}" type="PERCENTAGE">
                  <a:rPr lang="en-US" baseline="0"/>
                  <a:pPr/>
                  <a:t>[PERCENTAGE]</a:t>
                </a:fld>
                <a:endParaRPr lang="en-US" baseline="0"/>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tx>
            <c:rich>
              <a:bodyPr/>
              <a:lstStyle/>
              <a:p>
                <a:fld id="{4048B17E-65CF-45E0-AEF2-6F3403123218}" type="CATEGORYNAME">
                  <a:rPr lang="en-US"/>
                  <a:pPr/>
                  <a:t>[CATEGORY NAME]</a:t>
                </a:fld>
                <a:r>
                  <a:rPr lang="en-US" baseline="0"/>
                  <a:t>,</a:t>
                </a:r>
                <a:br>
                  <a:rPr lang="en-US" baseline="0"/>
                </a:br>
                <a:r>
                  <a:rPr lang="en-US" baseline="0"/>
                  <a:t> </a:t>
                </a:r>
                <a:fld id="{C37A43A2-3EE2-4984-AF30-B87878BE600D}" type="VALUE">
                  <a:rPr lang="en-US" baseline="0"/>
                  <a:pPr/>
                  <a:t>[VALUE]</a:t>
                </a:fld>
                <a:r>
                  <a:rPr lang="en-US" baseline="0"/>
                  <a:t>, </a:t>
                </a:r>
                <a:fld id="{473BF027-47BD-43AE-8F03-1BE326A01CC9}" type="PERCENTAGE">
                  <a:rPr lang="en-US" baseline="0"/>
                  <a:pPr/>
                  <a:t>[PERCENTAGE]</a:t>
                </a:fld>
                <a:endParaRPr lang="en-US" baseline="0"/>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dLbl>
          <c:idx val="0"/>
          <c:tx>
            <c:rich>
              <a:bodyPr/>
              <a:lstStyle/>
              <a:p>
                <a:fld id="{529C4ED7-7636-4293-B8CA-192C53D6FF2E}" type="CATEGORYNAME">
                  <a:rPr lang="en-US"/>
                  <a:pPr/>
                  <a:t>[CATEGORY NAME]</a:t>
                </a:fld>
                <a:r>
                  <a:rPr lang="en-US" baseline="0"/>
                  <a:t>, </a:t>
                </a:r>
                <a:br>
                  <a:rPr lang="en-US" baseline="0"/>
                </a:br>
                <a:fld id="{CFA59FFA-E63A-4237-B2DA-836D85705F33}" type="VALUE">
                  <a:rPr lang="en-US" baseline="0"/>
                  <a:pPr/>
                  <a:t>[VALUE]</a:t>
                </a:fld>
                <a:r>
                  <a:rPr lang="en-US" baseline="0"/>
                  <a:t>, </a:t>
                </a:r>
                <a:fld id="{36566508-25AB-4AAD-BBC7-E0AA46BA32EF}" type="PERCENTAGE">
                  <a:rPr lang="en-US" baseline="0"/>
                  <a:pPr/>
                  <a:t>[PERCENTAGE]</a:t>
                </a:fld>
                <a:endParaRPr lang="en-US" baseline="0"/>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5"/>
        <c:dLbl>
          <c:idx val="0"/>
          <c:tx>
            <c:rich>
              <a:bodyPr/>
              <a:lstStyle/>
              <a:p>
                <a:fld id="{E3AEE58A-DD89-406E-B92A-974553A713CE}" type="CATEGORYNAME">
                  <a:rPr lang="en-US"/>
                  <a:pPr/>
                  <a:t>[CATEGORY NAME]</a:t>
                </a:fld>
                <a:r>
                  <a:rPr lang="en-US" baseline="0"/>
                  <a:t>, </a:t>
                </a:r>
                <a:br>
                  <a:rPr lang="en-US" baseline="0"/>
                </a:br>
                <a:fld id="{D9884C31-4532-4F12-A2F1-F8733FF45322}" type="VALUE">
                  <a:rPr lang="en-US" baseline="0"/>
                  <a:pPr/>
                  <a:t>[VALUE]</a:t>
                </a:fld>
                <a:r>
                  <a:rPr lang="en-US" baseline="0"/>
                  <a:t>, </a:t>
                </a:r>
                <a:fld id="{BA206657-0878-4916-B482-E6A2782E735A}" type="PERCENTAGE">
                  <a:rPr lang="en-US" baseline="0"/>
                  <a:pPr/>
                  <a:t>[PERCENTAGE]</a:t>
                </a:fld>
                <a:endParaRPr lang="en-US" baseline="0"/>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dLbl>
          <c:idx val="0"/>
          <c:tx>
            <c:rich>
              <a:bodyPr/>
              <a:lstStyle/>
              <a:p>
                <a:fld id="{4048B17E-65CF-45E0-AEF2-6F3403123218}" type="CATEGORYNAME">
                  <a:rPr lang="en-US"/>
                  <a:pPr/>
                  <a:t>[CATEGORY NAME]</a:t>
                </a:fld>
                <a:r>
                  <a:rPr lang="en-US" baseline="0"/>
                  <a:t>,</a:t>
                </a:r>
                <a:br>
                  <a:rPr lang="en-US" baseline="0"/>
                </a:br>
                <a:r>
                  <a:rPr lang="en-US" baseline="0"/>
                  <a:t> </a:t>
                </a:r>
                <a:fld id="{C37A43A2-3EE2-4984-AF30-B87878BE600D}" type="VALUE">
                  <a:rPr lang="en-US" baseline="0"/>
                  <a:pPr/>
                  <a:t>[VALUE]</a:t>
                </a:fld>
                <a:r>
                  <a:rPr lang="en-US" baseline="0"/>
                  <a:t>, </a:t>
                </a:r>
                <a:fld id="{473BF027-47BD-43AE-8F03-1BE326A01CC9}" type="PERCENTAGE">
                  <a:rPr lang="en-US" baseline="0"/>
                  <a:pPr/>
                  <a:t>[PERCENTAGE]</a:t>
                </a:fld>
                <a:endParaRPr lang="en-US" baseline="0"/>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dLbl>
          <c:idx val="0"/>
          <c:tx>
            <c:rich>
              <a:bodyPr/>
              <a:lstStyle/>
              <a:p>
                <a:fld id="{529C4ED7-7636-4293-B8CA-192C53D6FF2E}" type="CATEGORYNAME">
                  <a:rPr lang="en-US"/>
                  <a:pPr/>
                  <a:t>[CATEGORY NAME]</a:t>
                </a:fld>
                <a:r>
                  <a:rPr lang="en-US" baseline="0"/>
                  <a:t>, </a:t>
                </a:r>
                <a:br>
                  <a:rPr lang="en-US" baseline="0"/>
                </a:br>
                <a:fld id="{CFA59FFA-E63A-4237-B2DA-836D85705F33}" type="VALUE">
                  <a:rPr lang="en-US" baseline="0"/>
                  <a:pPr/>
                  <a:t>[VALUE]</a:t>
                </a:fld>
                <a:r>
                  <a:rPr lang="en-US" baseline="0"/>
                  <a:t>, </a:t>
                </a:r>
                <a:fld id="{36566508-25AB-4AAD-BBC7-E0AA46BA32EF}" type="PERCENTAGE">
                  <a:rPr lang="en-US" baseline="0"/>
                  <a:pPr/>
                  <a:t>[PERCENTAGE]</a:t>
                </a:fld>
                <a:endParaRPr lang="en-US" baseline="0"/>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8"/>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9"/>
        <c:dLbl>
          <c:idx val="0"/>
          <c:tx>
            <c:rich>
              <a:bodyPr/>
              <a:lstStyle/>
              <a:p>
                <a:fld id="{E3AEE58A-DD89-406E-B92A-974553A713CE}" type="CATEGORYNAME">
                  <a:rPr lang="en-US"/>
                  <a:pPr/>
                  <a:t>[CATEGORY NAME]</a:t>
                </a:fld>
                <a:r>
                  <a:rPr lang="en-US" baseline="0"/>
                  <a:t>, </a:t>
                </a:r>
                <a:br>
                  <a:rPr lang="en-US" baseline="0"/>
                </a:br>
                <a:fld id="{D9884C31-4532-4F12-A2F1-F8733FF45322}" type="VALUE">
                  <a:rPr lang="en-US" baseline="0"/>
                  <a:pPr/>
                  <a:t>[VALUE]</a:t>
                </a:fld>
                <a:r>
                  <a:rPr lang="en-US" baseline="0"/>
                  <a:t>, </a:t>
                </a:r>
                <a:fld id="{BA206657-0878-4916-B482-E6A2782E735A}" type="PERCENTAGE">
                  <a:rPr lang="en-US" baseline="0"/>
                  <a:pPr/>
                  <a:t>[PERCENTAGE]</a:t>
                </a:fld>
                <a:endParaRPr lang="en-US" baseline="0"/>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0"/>
        <c:dLbl>
          <c:idx val="0"/>
          <c:tx>
            <c:rich>
              <a:bodyPr/>
              <a:lstStyle/>
              <a:p>
                <a:fld id="{4048B17E-65CF-45E0-AEF2-6F3403123218}" type="CATEGORYNAME">
                  <a:rPr lang="en-US"/>
                  <a:pPr/>
                  <a:t>[CATEGORY NAME]</a:t>
                </a:fld>
                <a:r>
                  <a:rPr lang="en-US" baseline="0"/>
                  <a:t>,</a:t>
                </a:r>
                <a:br>
                  <a:rPr lang="en-US" baseline="0"/>
                </a:br>
                <a:r>
                  <a:rPr lang="en-US" baseline="0"/>
                  <a:t> </a:t>
                </a:r>
                <a:fld id="{C37A43A2-3EE2-4984-AF30-B87878BE600D}" type="VALUE">
                  <a:rPr lang="en-US" baseline="0"/>
                  <a:pPr/>
                  <a:t>[VALUE]</a:t>
                </a:fld>
                <a:r>
                  <a:rPr lang="en-US" baseline="0"/>
                  <a:t>, </a:t>
                </a:r>
                <a:fld id="{473BF027-47BD-43AE-8F03-1BE326A01CC9}" type="PERCENTAGE">
                  <a:rPr lang="en-US" baseline="0"/>
                  <a:pPr/>
                  <a:t>[PERCENTAGE]</a:t>
                </a:fld>
                <a:endParaRPr lang="en-US" baseline="0"/>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1"/>
        <c:dLbl>
          <c:idx val="0"/>
          <c:tx>
            <c:rich>
              <a:bodyPr/>
              <a:lstStyle/>
              <a:p>
                <a:fld id="{529C4ED7-7636-4293-B8CA-192C53D6FF2E}" type="CATEGORYNAME">
                  <a:rPr lang="en-US"/>
                  <a:pPr/>
                  <a:t>[CATEGORY NAME]</a:t>
                </a:fld>
                <a:r>
                  <a:rPr lang="en-US" baseline="0"/>
                  <a:t>, </a:t>
                </a:r>
                <a:br>
                  <a:rPr lang="en-US" baseline="0"/>
                </a:br>
                <a:fld id="{CFA59FFA-E63A-4237-B2DA-836D85705F33}" type="VALUE">
                  <a:rPr lang="en-US" baseline="0"/>
                  <a:pPr/>
                  <a:t>[VALUE]</a:t>
                </a:fld>
                <a:r>
                  <a:rPr lang="en-US" baseline="0"/>
                  <a:t>, </a:t>
                </a:r>
                <a:fld id="{36566508-25AB-4AAD-BBC7-E0AA46BA32EF}" type="PERCENTAGE">
                  <a:rPr lang="en-US" baseline="0"/>
                  <a:pPr/>
                  <a:t>[PERCENTAGE]</a:t>
                </a:fld>
                <a:endParaRPr lang="en-US" baseline="0"/>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fld id="{E3AEE58A-DD89-406E-B92A-974553A713CE}" type="CATEGORYNAME">
                  <a:rPr lang="en-US"/>
                  <a:pPr>
                    <a:defRPr/>
                  </a:pPr>
                  <a:t>[CATEGORY NAME]</a:t>
                </a:fld>
                <a:r>
                  <a:rPr lang="en-US"/>
                  <a:t>, </a:t>
                </a:r>
                <a:br>
                  <a:rPr lang="en-US"/>
                </a:br>
                <a:fld id="{D9884C31-4532-4F12-A2F1-F8733FF45322}" type="VALUE">
                  <a:rPr lang="en-US"/>
                  <a:pPr>
                    <a:defRPr/>
                  </a:pPr>
                  <a:t>[VALUE]</a:t>
                </a:fld>
                <a:r>
                  <a:rPr lang="en-US"/>
                  <a:t>, </a:t>
                </a:r>
                <a:fld id="{BA206657-0878-4916-B482-E6A2782E735A}" type="PERCENTAGE">
                  <a:rPr lang="en-US"/>
                  <a:pPr>
                    <a:defRPr/>
                  </a:pPr>
                  <a:t>[PERCENTAGE]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1"/>
          </a:solidFill>
          <a:ln w="19050">
            <a:solidFill>
              <a:schemeClr val="lt1"/>
            </a:solidFill>
          </a:ln>
          <a:effectLst/>
        </c:spPr>
        <c:dLbl>
          <c:idx val="0"/>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fld id="{4048B17E-65CF-45E0-AEF2-6F3403123218}" type="CATEGORYNAME">
                  <a:rPr lang="en-US"/>
                  <a:pPr>
                    <a:defRPr/>
                  </a:pPr>
                  <a:t>[CATEGORY NAME]</a:t>
                </a:fld>
                <a:r>
                  <a:rPr lang="en-US"/>
                  <a:t>,</a:t>
                </a:r>
                <a:br>
                  <a:rPr lang="en-US"/>
                </a:br>
                <a:r>
                  <a:rPr lang="en-US"/>
                  <a:t> </a:t>
                </a:r>
                <a:fld id="{C37A43A2-3EE2-4984-AF30-B87878BE600D}" type="VALUE">
                  <a:rPr lang="en-US"/>
                  <a:pPr>
                    <a:defRPr/>
                  </a:pPr>
                  <a:t>[VALUE]</a:t>
                </a:fld>
                <a:r>
                  <a:rPr lang="en-US"/>
                  <a:t>, </a:t>
                </a:r>
                <a:fld id="{473BF027-47BD-43AE-8F03-1BE326A01CC9}" type="PERCENTAGE">
                  <a:rPr lang="en-US"/>
                  <a:pPr>
                    <a:defRPr/>
                  </a:pPr>
                  <a:t>[PERCENTAGE]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accent1"/>
          </a:solidFill>
          <a:ln w="19050">
            <a:solidFill>
              <a:schemeClr val="lt1"/>
            </a:solidFill>
          </a:ln>
          <a:effectLst/>
        </c:spPr>
        <c:dLbl>
          <c:idx val="0"/>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fld id="{529C4ED7-7636-4293-B8CA-192C53D6FF2E}" type="CATEGORYNAME">
                  <a:rPr lang="en-US"/>
                  <a:pPr>
                    <a:defRPr/>
                  </a:pPr>
                  <a:t>[CATEGORY NAME]</a:t>
                </a:fld>
                <a:r>
                  <a:rPr lang="en-US"/>
                  <a:t>, </a:t>
                </a:r>
                <a:br>
                  <a:rPr lang="en-US"/>
                </a:br>
                <a:fld id="{CFA59FFA-E63A-4237-B2DA-836D85705F33}" type="VALUE">
                  <a:rPr lang="en-US"/>
                  <a:pPr>
                    <a:defRPr/>
                  </a:pPr>
                  <a:t>[VALUE]</a:t>
                </a:fld>
                <a:r>
                  <a:rPr lang="en-US"/>
                  <a:t>, </a:t>
                </a:r>
                <a:fld id="{36566508-25AB-4AAD-BBC7-E0AA46BA32EF}" type="PERCENTAGE">
                  <a:rPr lang="en-US"/>
                  <a:pPr>
                    <a:defRPr/>
                  </a:pPr>
                  <a:t>[PERCENTAGE]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9.1965114317050553E-2"/>
          <c:y val="0.20818659060846564"/>
          <c:w val="0.81606977136589898"/>
          <c:h val="0.62843295304232805"/>
        </c:manualLayout>
      </c:layout>
      <c:pieChart>
        <c:varyColors val="1"/>
        <c:ser>
          <c:idx val="0"/>
          <c:order val="0"/>
          <c:tx>
            <c:strRef>
              <c:f>Design_Sheet!$B$59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73-448E-94F6-4E721520E6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73-448E-94F6-4E721520E6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73-448E-94F6-4E721520E6BF}"/>
              </c:ext>
            </c:extLst>
          </c:dPt>
          <c:dLbls>
            <c:dLbl>
              <c:idx val="0"/>
              <c:tx>
                <c:rich>
                  <a:bodyPr/>
                  <a:lstStyle/>
                  <a:p>
                    <a:fld id="{E3AEE58A-DD89-406E-B92A-974553A713CE}" type="CATEGORYNAME">
                      <a:rPr lang="en-US"/>
                      <a:pPr/>
                      <a:t>[CATEGORY NAME]</a:t>
                    </a:fld>
                    <a:r>
                      <a:rPr lang="en-US"/>
                      <a:t>, </a:t>
                    </a:r>
                    <a:br>
                      <a:rPr lang="en-US"/>
                    </a:br>
                    <a:fld id="{D9884C31-4532-4F12-A2F1-F8733FF45322}" type="VALUE">
                      <a:rPr lang="en-US"/>
                      <a:pPr/>
                      <a:t>[VALUE]</a:t>
                    </a:fld>
                    <a:r>
                      <a:rPr lang="en-US"/>
                      <a:t>, </a:t>
                    </a:r>
                    <a:fld id="{BA206657-0878-4916-B482-E6A2782E735A}" type="PERCENTAGE">
                      <a:rPr lang="en-US"/>
                      <a:pPr/>
                      <a:t>[PERCENTAGE]</a:t>
                    </a:fld>
                    <a:endParaRPr lang="en-US"/>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773-448E-94F6-4E721520E6BF}"/>
                </c:ext>
              </c:extLst>
            </c:dLbl>
            <c:dLbl>
              <c:idx val="1"/>
              <c:tx>
                <c:rich>
                  <a:bodyPr/>
                  <a:lstStyle/>
                  <a:p>
                    <a:fld id="{4048B17E-65CF-45E0-AEF2-6F3403123218}" type="CATEGORYNAME">
                      <a:rPr lang="en-US"/>
                      <a:pPr/>
                      <a:t>[CATEGORY NAME]</a:t>
                    </a:fld>
                    <a:r>
                      <a:rPr lang="en-US"/>
                      <a:t>,</a:t>
                    </a:r>
                    <a:br>
                      <a:rPr lang="en-US"/>
                    </a:br>
                    <a:r>
                      <a:rPr lang="en-US"/>
                      <a:t> </a:t>
                    </a:r>
                    <a:fld id="{C37A43A2-3EE2-4984-AF30-B87878BE600D}" type="VALUE">
                      <a:rPr lang="en-US"/>
                      <a:pPr/>
                      <a:t>[VALUE]</a:t>
                    </a:fld>
                    <a:r>
                      <a:rPr lang="en-US"/>
                      <a:t>, </a:t>
                    </a:r>
                    <a:fld id="{473BF027-47BD-43AE-8F03-1BE326A01CC9}" type="PERCENTAGE">
                      <a:rPr lang="en-US"/>
                      <a:pPr/>
                      <a:t>[PERCENTAGE]</a:t>
                    </a:fld>
                    <a:endParaRPr lang="en-US"/>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773-448E-94F6-4E721520E6BF}"/>
                </c:ext>
              </c:extLst>
            </c:dLbl>
            <c:dLbl>
              <c:idx val="2"/>
              <c:tx>
                <c:rich>
                  <a:bodyPr/>
                  <a:lstStyle/>
                  <a:p>
                    <a:fld id="{529C4ED7-7636-4293-B8CA-192C53D6FF2E}" type="CATEGORYNAME">
                      <a:rPr lang="en-US"/>
                      <a:pPr/>
                      <a:t>[CATEGORY NAME]</a:t>
                    </a:fld>
                    <a:r>
                      <a:rPr lang="en-US"/>
                      <a:t>, </a:t>
                    </a:r>
                    <a:br>
                      <a:rPr lang="en-US"/>
                    </a:br>
                    <a:fld id="{CFA59FFA-E63A-4237-B2DA-836D85705F33}" type="VALUE">
                      <a:rPr lang="en-US"/>
                      <a:pPr/>
                      <a:t>[VALUE]</a:t>
                    </a:fld>
                    <a:r>
                      <a:rPr lang="en-US"/>
                      <a:t>, </a:t>
                    </a:r>
                    <a:fld id="{36566508-25AB-4AAD-BBC7-E0AA46BA32EF}" type="PERCENTAGE">
                      <a:rPr lang="en-US"/>
                      <a:pPr/>
                      <a:t>[PERCENTAGE]</a:t>
                    </a:fld>
                    <a:endParaRPr lang="en-US"/>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773-448E-94F6-4E721520E6BF}"/>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Design_Sheet!$A$60:$A$62</c:f>
              <c:strCache>
                <c:ptCount val="3"/>
                <c:pt idx="0">
                  <c:v>Plant A</c:v>
                </c:pt>
                <c:pt idx="1">
                  <c:v>Plant B</c:v>
                </c:pt>
                <c:pt idx="2">
                  <c:v>Plant C</c:v>
                </c:pt>
              </c:strCache>
            </c:strRef>
          </c:cat>
          <c:val>
            <c:numRef>
              <c:f>Design_Sheet!$B$60:$B$62</c:f>
              <c:numCache>
                <c:formatCode>"₹"\ 0.0,,\ "M"</c:formatCode>
                <c:ptCount val="3"/>
                <c:pt idx="0">
                  <c:v>5271124.66</c:v>
                </c:pt>
                <c:pt idx="1">
                  <c:v>5543447.6799999997</c:v>
                </c:pt>
                <c:pt idx="2">
                  <c:v>6392614.0099999998</c:v>
                </c:pt>
              </c:numCache>
            </c:numRef>
          </c:val>
          <c:extLst>
            <c:ext xmlns:c16="http://schemas.microsoft.com/office/drawing/2014/chart" uri="{C3380CC4-5D6E-409C-BE32-E72D297353CC}">
              <c16:uniqueId val="{00000006-8773-448E-94F6-4E721520E6B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[Manufacturing_Dashboard_Final.xlsx]Design_Sheet!PivotTable9</c:name>
    <c:fmtId val="33"/>
  </c:pivotSource>
  <c:chart>
    <c:title>
      <c:tx>
        <c:rich>
          <a:bodyPr rot="0" spcFirstLastPara="1" vertOverflow="ellipsis" vert="horz" wrap="square" anchor="ctr" anchorCtr="1"/>
          <a:lstStyle/>
          <a:p>
            <a:pPr algn="ctr" rtl="0">
              <a:defRPr lang="en-IN" sz="1600" b="0" i="0" u="none" strike="noStrike" kern="1200" cap="all" spc="0" baseline="0">
                <a:ln>
                  <a:noFill/>
                </a:ln>
                <a:solidFill>
                  <a:sysClr val="windowText" lastClr="000000"/>
                </a:solidFill>
                <a:latin typeface="+mn-lt"/>
                <a:ea typeface="+mn-ea"/>
                <a:cs typeface="+mn-cs"/>
              </a:defRPr>
            </a:pPr>
            <a:r>
              <a:rPr lang="en-IN" sz="1600" b="0" i="0" u="none" strike="noStrike" kern="1200" cap="all" baseline="0">
                <a:solidFill>
                  <a:sysClr val="windowText" lastClr="000000"/>
                </a:solidFill>
                <a:latin typeface="+mn-lt"/>
                <a:ea typeface="+mn-ea"/>
                <a:cs typeface="+mn-cs"/>
              </a:rPr>
              <a:t>Revenue vs. Cost by Category </a:t>
            </a:r>
          </a:p>
        </c:rich>
      </c:tx>
      <c:overlay val="0"/>
      <c:spPr>
        <a:noFill/>
        <a:ln>
          <a:noFill/>
        </a:ln>
        <a:effectLst/>
      </c:spPr>
      <c:txPr>
        <a:bodyPr rot="0" spcFirstLastPara="1" vertOverflow="ellipsis" vert="horz" wrap="square" anchor="ctr" anchorCtr="1"/>
        <a:lstStyle/>
        <a:p>
          <a:pPr algn="ctr" rtl="0">
            <a:defRPr lang="en-IN" sz="1600" b="0" i="0" u="none" strike="noStrike" kern="1200" cap="all" spc="0" baseline="0">
              <a:ln>
                <a:noFill/>
              </a:ln>
              <a:solidFill>
                <a:sysClr val="windowText" lastClr="000000"/>
              </a:solidFill>
              <a:latin typeface="+mn-lt"/>
              <a:ea typeface="+mn-ea"/>
              <a:cs typeface="+mn-cs"/>
            </a:defRPr>
          </a:pPr>
          <a:endParaRPr lang="en-US"/>
        </a:p>
      </c:txPr>
    </c:title>
    <c:autoTitleDeleted val="0"/>
    <c:pivotFmts>
      <c:pivotFmt>
        <c:idx val="0"/>
        <c:spPr>
          <a:gradFill flip="none" rotWithShape="1">
            <a:gsLst>
              <a:gs pos="0">
                <a:schemeClr val="accent3">
                  <a:lumMod val="45000"/>
                  <a:lumOff val="55000"/>
                </a:schemeClr>
              </a:gs>
              <a:gs pos="60000">
                <a:schemeClr val="accent3">
                  <a:lumMod val="98000"/>
                  <a:lumOff val="2000"/>
                </a:schemeClr>
              </a:gs>
            </a:gsLst>
            <a:lin ang="54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35000">
                <a:schemeClr val="accent2">
                  <a:lumMod val="67000"/>
                </a:schemeClr>
              </a:gs>
              <a:gs pos="100000">
                <a:schemeClr val="accent2">
                  <a:lumMod val="60000"/>
                  <a:lumOff val="40000"/>
                </a:schemeClr>
              </a:gs>
            </a:gsLst>
            <a:lin ang="16200000" scaled="1"/>
            <a:tileRect/>
          </a:gradFill>
          <a:ln>
            <a:gradFill flip="none" rotWithShape="1">
              <a:gsLst>
                <a:gs pos="8000">
                  <a:schemeClr val="accent2">
                    <a:lumMod val="45000"/>
                    <a:lumOff val="55000"/>
                  </a:schemeClr>
                </a:gs>
                <a:gs pos="100000">
                  <a:schemeClr val="accent2">
                    <a:lumMod val="30000"/>
                    <a:lumOff val="70000"/>
                  </a:schemeClr>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lumMod val="45000"/>
                  <a:lumOff val="55000"/>
                </a:schemeClr>
              </a:gs>
              <a:gs pos="60000">
                <a:schemeClr val="accent3">
                  <a:lumMod val="98000"/>
                  <a:lumOff val="2000"/>
                </a:schemeClr>
              </a:gs>
            </a:gsLst>
            <a:lin ang="5400000" scaled="1"/>
            <a:tileRect/>
          </a:gradFill>
          <a:ln>
            <a:noFill/>
          </a:ln>
          <a:effectLst/>
        </c:spPr>
      </c:pivotFmt>
      <c:pivotFmt>
        <c:idx val="3"/>
        <c:spPr>
          <a:gradFill flip="none" rotWithShape="1">
            <a:gsLst>
              <a:gs pos="0">
                <a:schemeClr val="accent3">
                  <a:lumMod val="45000"/>
                  <a:lumOff val="55000"/>
                </a:schemeClr>
              </a:gs>
              <a:gs pos="60000">
                <a:schemeClr val="accent3">
                  <a:lumMod val="98000"/>
                  <a:lumOff val="2000"/>
                </a:schemeClr>
              </a:gs>
            </a:gsLst>
            <a:lin ang="54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35000">
                <a:schemeClr val="accent2">
                  <a:lumMod val="67000"/>
                </a:schemeClr>
              </a:gs>
              <a:gs pos="100000">
                <a:schemeClr val="accent2">
                  <a:lumMod val="60000"/>
                  <a:lumOff val="40000"/>
                </a:schemeClr>
              </a:gs>
            </a:gsLst>
            <a:lin ang="16200000" scaled="1"/>
            <a:tileRect/>
          </a:gradFill>
          <a:ln>
            <a:gradFill flip="none" rotWithShape="1">
              <a:gsLst>
                <a:gs pos="8000">
                  <a:schemeClr val="accent2">
                    <a:lumMod val="45000"/>
                    <a:lumOff val="55000"/>
                  </a:schemeClr>
                </a:gs>
                <a:gs pos="100000">
                  <a:schemeClr val="accent2">
                    <a:lumMod val="30000"/>
                    <a:lumOff val="70000"/>
                  </a:schemeClr>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3">
                  <a:lumMod val="45000"/>
                  <a:lumOff val="55000"/>
                </a:schemeClr>
              </a:gs>
              <a:gs pos="60000">
                <a:schemeClr val="accent3">
                  <a:lumMod val="98000"/>
                  <a:lumOff val="2000"/>
                </a:schemeClr>
              </a:gs>
            </a:gsLst>
            <a:lin ang="54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35000">
                <a:schemeClr val="accent2">
                  <a:lumMod val="67000"/>
                </a:schemeClr>
              </a:gs>
              <a:gs pos="100000">
                <a:schemeClr val="accent2">
                  <a:lumMod val="60000"/>
                  <a:lumOff val="40000"/>
                </a:schemeClr>
              </a:gs>
            </a:gsLst>
            <a:lin ang="16200000" scaled="1"/>
            <a:tileRect/>
          </a:gradFill>
          <a:ln>
            <a:gradFill flip="none" rotWithShape="1">
              <a:gsLst>
                <a:gs pos="8000">
                  <a:schemeClr val="accent2">
                    <a:lumMod val="45000"/>
                    <a:lumOff val="55000"/>
                  </a:schemeClr>
                </a:gs>
                <a:gs pos="100000">
                  <a:schemeClr val="accent2">
                    <a:lumMod val="30000"/>
                    <a:lumOff val="70000"/>
                  </a:schemeClr>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3">
                  <a:lumMod val="45000"/>
                  <a:lumOff val="55000"/>
                </a:schemeClr>
              </a:gs>
              <a:gs pos="60000">
                <a:schemeClr val="accent3">
                  <a:lumMod val="98000"/>
                  <a:lumOff val="2000"/>
                </a:schemeClr>
              </a:gs>
            </a:gsLst>
            <a:lin ang="54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35000">
                <a:schemeClr val="accent2">
                  <a:lumMod val="67000"/>
                </a:schemeClr>
              </a:gs>
              <a:gs pos="100000">
                <a:schemeClr val="accent2">
                  <a:lumMod val="60000"/>
                  <a:lumOff val="40000"/>
                </a:schemeClr>
              </a:gs>
            </a:gsLst>
            <a:lin ang="16200000" scaled="1"/>
            <a:tileRect/>
          </a:gradFill>
          <a:ln>
            <a:gradFill flip="none" rotWithShape="1">
              <a:gsLst>
                <a:gs pos="8000">
                  <a:schemeClr val="accent2">
                    <a:lumMod val="45000"/>
                    <a:lumOff val="55000"/>
                  </a:schemeClr>
                </a:gs>
                <a:gs pos="100000">
                  <a:schemeClr val="accent2">
                    <a:lumMod val="30000"/>
                    <a:lumOff val="70000"/>
                  </a:schemeClr>
                </a:gs>
              </a:gsLst>
              <a:lin ang="5400000" scaled="1"/>
              <a:tileRect/>
            </a:gra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Design_Sheet!$B$66</c:f>
              <c:strCache>
                <c:ptCount val="1"/>
                <c:pt idx="0">
                  <c:v>Sales Revenue ($)</c:v>
                </c:pt>
              </c:strCache>
            </c:strRef>
          </c:tx>
          <c:spPr>
            <a:gradFill flip="none" rotWithShape="1">
              <a:gsLst>
                <a:gs pos="0">
                  <a:schemeClr val="accent3">
                    <a:lumMod val="45000"/>
                    <a:lumOff val="55000"/>
                  </a:schemeClr>
                </a:gs>
                <a:gs pos="60000">
                  <a:schemeClr val="accent3">
                    <a:lumMod val="98000"/>
                    <a:lumOff val="2000"/>
                  </a:schemeClr>
                </a:gs>
              </a:gsLst>
              <a:lin ang="5400000" scaled="1"/>
              <a:tileRect/>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Design_Sheet!$A$67:$A$69</c:f>
              <c:strCache>
                <c:ptCount val="3"/>
                <c:pt idx="0">
                  <c:v>Electronics</c:v>
                </c:pt>
                <c:pt idx="1">
                  <c:v>Mechanical</c:v>
                </c:pt>
                <c:pt idx="2">
                  <c:v>Tools</c:v>
                </c:pt>
              </c:strCache>
            </c:strRef>
          </c:cat>
          <c:val>
            <c:numRef>
              <c:f>Design_Sheet!$B$67:$B$69</c:f>
              <c:numCache>
                <c:formatCode>"₹"\ 0.0,,\ "M"</c:formatCode>
                <c:ptCount val="3"/>
                <c:pt idx="0">
                  <c:v>5958121.5899999989</c:v>
                </c:pt>
                <c:pt idx="1">
                  <c:v>5753854.0500000007</c:v>
                </c:pt>
                <c:pt idx="2">
                  <c:v>5495210.71</c:v>
                </c:pt>
              </c:numCache>
            </c:numRef>
          </c:val>
          <c:extLst>
            <c:ext xmlns:c16="http://schemas.microsoft.com/office/drawing/2014/chart" uri="{C3380CC4-5D6E-409C-BE32-E72D297353CC}">
              <c16:uniqueId val="{00000000-0A5E-49D2-9EEC-5293A2CCBFE3}"/>
            </c:ext>
          </c:extLst>
        </c:ser>
        <c:ser>
          <c:idx val="1"/>
          <c:order val="1"/>
          <c:tx>
            <c:strRef>
              <c:f>Design_Sheet!$C$66</c:f>
              <c:strCache>
                <c:ptCount val="1"/>
                <c:pt idx="0">
                  <c:v>Production Cost ($)</c:v>
                </c:pt>
              </c:strCache>
            </c:strRef>
          </c:tx>
          <c:spPr>
            <a:gradFill flip="none" rotWithShape="1">
              <a:gsLst>
                <a:gs pos="35000">
                  <a:schemeClr val="accent2">
                    <a:lumMod val="67000"/>
                  </a:schemeClr>
                </a:gs>
                <a:gs pos="100000">
                  <a:schemeClr val="accent2">
                    <a:lumMod val="60000"/>
                    <a:lumOff val="40000"/>
                  </a:schemeClr>
                </a:gs>
              </a:gsLst>
              <a:lin ang="16200000" scaled="1"/>
              <a:tileRect/>
            </a:gradFill>
            <a:ln>
              <a:gradFill flip="none" rotWithShape="1">
                <a:gsLst>
                  <a:gs pos="8000">
                    <a:schemeClr val="accent2">
                      <a:lumMod val="45000"/>
                      <a:lumOff val="55000"/>
                    </a:schemeClr>
                  </a:gs>
                  <a:gs pos="100000">
                    <a:schemeClr val="accent2">
                      <a:lumMod val="30000"/>
                      <a:lumOff val="70000"/>
                    </a:schemeClr>
                  </a:gs>
                </a:gsLst>
                <a:lin ang="5400000" scaled="1"/>
                <a:tileRect/>
              </a:gra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Design_Sheet!$A$67:$A$69</c:f>
              <c:strCache>
                <c:ptCount val="3"/>
                <c:pt idx="0">
                  <c:v>Electronics</c:v>
                </c:pt>
                <c:pt idx="1">
                  <c:v>Mechanical</c:v>
                </c:pt>
                <c:pt idx="2">
                  <c:v>Tools</c:v>
                </c:pt>
              </c:strCache>
            </c:strRef>
          </c:cat>
          <c:val>
            <c:numRef>
              <c:f>Design_Sheet!$C$67:$C$69</c:f>
              <c:numCache>
                <c:formatCode>"₹"\ 0.0,,\ "M"</c:formatCode>
                <c:ptCount val="3"/>
                <c:pt idx="0">
                  <c:v>4621118.22</c:v>
                </c:pt>
                <c:pt idx="1">
                  <c:v>4396592.79</c:v>
                </c:pt>
                <c:pt idx="2">
                  <c:v>4240782.2</c:v>
                </c:pt>
              </c:numCache>
            </c:numRef>
          </c:val>
          <c:extLst>
            <c:ext xmlns:c16="http://schemas.microsoft.com/office/drawing/2014/chart" uri="{C3380CC4-5D6E-409C-BE32-E72D297353CC}">
              <c16:uniqueId val="{00000001-0A5E-49D2-9EEC-5293A2CCBFE3}"/>
            </c:ext>
          </c:extLst>
        </c:ser>
        <c:dLbls>
          <c:dLblPos val="outEnd"/>
          <c:showLegendKey val="0"/>
          <c:showVal val="1"/>
          <c:showCatName val="0"/>
          <c:showSerName val="0"/>
          <c:showPercent val="0"/>
          <c:showBubbleSize val="0"/>
        </c:dLbls>
        <c:gapWidth val="219"/>
        <c:overlap val="-27"/>
        <c:axId val="1972970255"/>
        <c:axId val="1972963535"/>
      </c:barChart>
      <c:catAx>
        <c:axId val="197297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972963535"/>
        <c:crosses val="autoZero"/>
        <c:auto val="1"/>
        <c:lblAlgn val="ctr"/>
        <c:lblOffset val="100"/>
        <c:noMultiLvlLbl val="0"/>
      </c:catAx>
      <c:valAx>
        <c:axId val="1972963535"/>
        <c:scaling>
          <c:orientation val="minMax"/>
        </c:scaling>
        <c:delete val="0"/>
        <c:axPos val="l"/>
        <c:majorGridlines>
          <c:spPr>
            <a:ln w="9525" cap="flat" cmpd="sng" algn="ctr">
              <a:noFill/>
              <a:round/>
            </a:ln>
            <a:effectLst/>
          </c:spPr>
        </c:majorGridlines>
        <c:numFmt formatCode="&quot;₹&quot;\ 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972970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[Manufacturing_Dashboard_Final.xlsx]Design_Sheet!PivotTable19</c:name>
    <c:fmtId val="39"/>
  </c:pivotSource>
  <c:chart>
    <c:title>
      <c:tx>
        <c:rich>
          <a:bodyPr rot="0" spcFirstLastPara="1" vertOverflow="ellipsis" vert="horz" wrap="square" anchor="ctr" anchorCtr="1"/>
          <a:lstStyle/>
          <a:p>
            <a:pPr algn="ctr" rtl="0">
              <a:defRPr sz="1600" b="0" i="0" u="none" strike="noStrike" kern="1200" cap="all" spc="0" baseline="0">
                <a:solidFill>
                  <a:sysClr val="windowText" lastClr="000000"/>
                </a:solidFill>
                <a:latin typeface="+mn-lt"/>
                <a:ea typeface="+mn-ea"/>
                <a:cs typeface="+mn-cs"/>
              </a:defRPr>
            </a:pPr>
            <a:r>
              <a:rPr lang="en-IN" sz="1600" b="0" i="0" u="none" strike="noStrike" cap="all" baseline="0">
                <a:effectLst/>
              </a:rPr>
              <a:t>Revenue vs. Cost Monthly Trend </a:t>
            </a:r>
            <a:endParaRPr lang="en-IN" sz="1600" b="0" i="0" u="none" strike="noStrike" kern="1200" cap="all" baseline="0">
              <a:solidFill>
                <a:sysClr val="windowText" lastClr="000000"/>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sz="1600" b="0" i="0" u="none" strike="noStrike" kern="1200" cap="all" spc="0" baseline="0">
              <a:solidFill>
                <a:sysClr val="windowText" lastClr="000000"/>
              </a:solidFill>
              <a:latin typeface="+mn-lt"/>
              <a:ea typeface="+mn-ea"/>
              <a:cs typeface="+mn-cs"/>
            </a:defRPr>
          </a:pPr>
          <a:endParaRPr lang="en-IN"/>
        </a:p>
      </c:txPr>
    </c:title>
    <c:autoTitleDeleted val="0"/>
    <c:pivotFmts>
      <c:pivotFmt>
        <c:idx val="0"/>
        <c:spPr>
          <a:solidFill>
            <a:schemeClr val="accent6">
              <a:lumMod val="40000"/>
              <a:lumOff val="60000"/>
            </a:schemeClr>
          </a:solidFill>
          <a:ln>
            <a:noFill/>
          </a:ln>
          <a:effectLst/>
        </c:spPr>
        <c:marker>
          <c:symbol val="none"/>
        </c:marker>
        <c:dLbl>
          <c:idx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540000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40000"/>
              <a:lumOff val="60000"/>
            </a:schemeClr>
          </a:solidFill>
          <a:ln>
            <a:noFill/>
          </a:ln>
          <a:effectLst/>
        </c:spPr>
        <c:marker>
          <c:symbol val="none"/>
        </c:marker>
        <c:dLbl>
          <c:idx val="0"/>
          <c:spPr>
            <a:noFill/>
            <a:ln>
              <a:noFill/>
            </a:ln>
            <a:effectLst/>
          </c:spPr>
          <c:txPr>
            <a:bodyPr rot="-5400000" spcFirstLastPara="1" vertOverflow="ellipsis"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40000"/>
              <a:lumOff val="60000"/>
            </a:schemeClr>
          </a:solidFill>
          <a:ln>
            <a:noFill/>
          </a:ln>
          <a:effectLst/>
        </c:spPr>
        <c:marker>
          <c:symbol val="none"/>
        </c:marker>
        <c:dLbl>
          <c:idx val="0"/>
          <c:spPr>
            <a:noFill/>
            <a:ln>
              <a:noFill/>
            </a:ln>
            <a:effectLst/>
          </c:spPr>
          <c:txPr>
            <a:bodyPr rot="-540000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40000"/>
              <a:lumOff val="60000"/>
            </a:schemeClr>
          </a:solidFill>
          <a:ln>
            <a:noFill/>
          </a:ln>
          <a:effectLst/>
        </c:spPr>
        <c:marker>
          <c:symbol val="none"/>
        </c:marker>
        <c:dLbl>
          <c:idx val="0"/>
          <c:spPr>
            <a:noFill/>
            <a:ln>
              <a:noFill/>
            </a:ln>
            <a:effectLst/>
          </c:spPr>
          <c:txPr>
            <a:bodyPr rot="-5400000" spcFirstLastPara="1" vertOverflow="ellipsis"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a:noFill/>
          </a:ln>
          <a:effectLst/>
        </c:spPr>
        <c:marker>
          <c:symbol val="none"/>
        </c:marker>
        <c:dLbl>
          <c:idx val="0"/>
          <c:spPr>
            <a:noFill/>
            <a:ln>
              <a:noFill/>
            </a:ln>
            <a:effectLst/>
          </c:spPr>
          <c:txPr>
            <a:bodyPr rot="-540000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5400000" spcFirstLastPara="1" vertOverflow="ellipsis"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40000"/>
              <a:lumOff val="60000"/>
            </a:schemeClr>
          </a:solidFill>
          <a:ln>
            <a:noFill/>
          </a:ln>
          <a:effectLst/>
        </c:spPr>
        <c:marker>
          <c:symbol val="none"/>
        </c:marker>
        <c:dLbl>
          <c:idx val="0"/>
          <c:spPr>
            <a:noFill/>
            <a:ln>
              <a:noFill/>
            </a:ln>
            <a:effectLst/>
          </c:spPr>
          <c:txPr>
            <a:bodyPr rot="-540000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40000"/>
              <a:lumOff val="60000"/>
            </a:schemeClr>
          </a:solidFill>
          <a:ln>
            <a:noFill/>
          </a:ln>
          <a:effectLst/>
        </c:spPr>
        <c:marker>
          <c:symbol val="none"/>
        </c:marker>
        <c:dLbl>
          <c:idx val="0"/>
          <c:spPr>
            <a:noFill/>
            <a:ln>
              <a:noFill/>
            </a:ln>
            <a:effectLst/>
          </c:spPr>
          <c:txPr>
            <a:bodyPr rot="-5400000" spcFirstLastPara="1" vertOverflow="ellipsis"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Design_Sheet!$B$72</c:f>
              <c:strCache>
                <c:ptCount val="1"/>
                <c:pt idx="0">
                  <c:v>Sales Revenue ($)</c:v>
                </c:pt>
              </c:strCache>
            </c:strRef>
          </c:tx>
          <c:spPr>
            <a:solidFill>
              <a:schemeClr val="accent6">
                <a:lumMod val="40000"/>
                <a:lumOff val="60000"/>
              </a:schemeClr>
            </a:solidFill>
            <a:ln>
              <a:noFill/>
            </a:ln>
            <a:effectLst/>
          </c:spPr>
          <c:invertIfNegative val="0"/>
          <c:dLbls>
            <c:spPr>
              <a:noFill/>
              <a:ln>
                <a:noFill/>
              </a:ln>
              <a:effectLst/>
            </c:spPr>
            <c:txPr>
              <a:bodyPr rot="-540000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Design_Sheet!$A$73:$A$84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Design_Sheet!$B$73:$B$84</c:f>
              <c:numCache>
                <c:formatCode>"₹"\ 0.0,,\ "M"</c:formatCode>
                <c:ptCount val="12"/>
                <c:pt idx="0">
                  <c:v>1435762.5</c:v>
                </c:pt>
                <c:pt idx="1">
                  <c:v>1315990.1000000001</c:v>
                </c:pt>
                <c:pt idx="2">
                  <c:v>1133116.51</c:v>
                </c:pt>
                <c:pt idx="3">
                  <c:v>1516907.14</c:v>
                </c:pt>
                <c:pt idx="4">
                  <c:v>1439193.38</c:v>
                </c:pt>
                <c:pt idx="5">
                  <c:v>1859552.6500000001</c:v>
                </c:pt>
                <c:pt idx="6">
                  <c:v>1363533.95</c:v>
                </c:pt>
                <c:pt idx="7">
                  <c:v>1821597.2899999998</c:v>
                </c:pt>
                <c:pt idx="8">
                  <c:v>1572216.2999999998</c:v>
                </c:pt>
                <c:pt idx="9">
                  <c:v>930945.9</c:v>
                </c:pt>
                <c:pt idx="10">
                  <c:v>1229509.1800000002</c:v>
                </c:pt>
                <c:pt idx="11">
                  <c:v>1588861.4500000002</c:v>
                </c:pt>
              </c:numCache>
            </c:numRef>
          </c:val>
          <c:extLst>
            <c:ext xmlns:c16="http://schemas.microsoft.com/office/drawing/2014/chart" uri="{C3380CC4-5D6E-409C-BE32-E72D297353CC}">
              <c16:uniqueId val="{00000000-7446-4776-9E18-36F523DB6F33}"/>
            </c:ext>
          </c:extLst>
        </c:ser>
        <c:ser>
          <c:idx val="1"/>
          <c:order val="1"/>
          <c:tx>
            <c:strRef>
              <c:f>Design_Sheet!$C$72</c:f>
              <c:strCache>
                <c:ptCount val="1"/>
                <c:pt idx="0">
                  <c:v>Production Cost ($)</c:v>
                </c:pt>
              </c:strCache>
            </c:strRef>
          </c:tx>
          <c:spPr>
            <a:solidFill>
              <a:schemeClr val="accent2">
                <a:lumMod val="40000"/>
                <a:lumOff val="60000"/>
              </a:schemeClr>
            </a:solidFill>
            <a:ln>
              <a:noFill/>
            </a:ln>
            <a:effectLst/>
          </c:spPr>
          <c:invertIfNegative val="0"/>
          <c:dLbls>
            <c:spPr>
              <a:noFill/>
              <a:ln>
                <a:noFill/>
              </a:ln>
              <a:effectLst/>
            </c:spPr>
            <c:txPr>
              <a:bodyPr rot="-5400000" spcFirstLastPara="1" vertOverflow="ellipsis"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Design_Sheet!$A$73:$A$84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Design_Sheet!$C$73:$C$84</c:f>
              <c:numCache>
                <c:formatCode>"₹"\ 0.0,,\ "M"</c:formatCode>
                <c:ptCount val="12"/>
                <c:pt idx="0">
                  <c:v>1112261.43</c:v>
                </c:pt>
                <c:pt idx="1">
                  <c:v>996579.93</c:v>
                </c:pt>
                <c:pt idx="2">
                  <c:v>873971.77</c:v>
                </c:pt>
                <c:pt idx="3">
                  <c:v>1170364.76</c:v>
                </c:pt>
                <c:pt idx="4">
                  <c:v>1124468.46</c:v>
                </c:pt>
                <c:pt idx="5">
                  <c:v>1429088.67</c:v>
                </c:pt>
                <c:pt idx="6">
                  <c:v>1036134.97</c:v>
                </c:pt>
                <c:pt idx="7">
                  <c:v>1402725.95</c:v>
                </c:pt>
                <c:pt idx="8">
                  <c:v>1198447.5900000001</c:v>
                </c:pt>
                <c:pt idx="9">
                  <c:v>737604.06</c:v>
                </c:pt>
                <c:pt idx="10">
                  <c:v>955787.86</c:v>
                </c:pt>
                <c:pt idx="11">
                  <c:v>1221057.76</c:v>
                </c:pt>
              </c:numCache>
            </c:numRef>
          </c:val>
          <c:extLst>
            <c:ext xmlns:c16="http://schemas.microsoft.com/office/drawing/2014/chart" uri="{C3380CC4-5D6E-409C-BE32-E72D297353CC}">
              <c16:uniqueId val="{00000001-7446-4776-9E18-36F523DB6F33}"/>
            </c:ext>
          </c:extLst>
        </c:ser>
        <c:dLbls>
          <c:dLblPos val="inEnd"/>
          <c:showLegendKey val="0"/>
          <c:showVal val="1"/>
          <c:showCatName val="0"/>
          <c:showSerName val="0"/>
          <c:showPercent val="0"/>
          <c:showBubbleSize val="0"/>
        </c:dLbls>
        <c:gapWidth val="50"/>
        <c:overlap val="-15"/>
        <c:axId val="70166752"/>
        <c:axId val="70179232"/>
      </c:barChart>
      <c:catAx>
        <c:axId val="70166752"/>
        <c:scaling>
          <c:orientation val="minMax"/>
        </c:scaling>
        <c:delete val="0"/>
        <c:axPos val="b"/>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179232"/>
        <c:crosses val="autoZero"/>
        <c:auto val="1"/>
        <c:lblAlgn val="ctr"/>
        <c:lblOffset val="100"/>
        <c:noMultiLvlLbl val="0"/>
      </c:catAx>
      <c:valAx>
        <c:axId val="701792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166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[Manufacturing_Dashboard_Final.xlsx]Design_Sheet!PivotTable20</c:name>
    <c:fmtId val="43"/>
  </c:pivotSource>
  <c:chart>
    <c:title>
      <c:tx>
        <c:rich>
          <a:bodyPr rot="0" spcFirstLastPara="1" vertOverflow="ellipsis" vert="horz" wrap="square" anchor="ctr" anchorCtr="1"/>
          <a:lstStyle/>
          <a:p>
            <a:pPr algn="ctr" rtl="0">
              <a:defRPr sz="1400" b="0" i="0" u="none" strike="noStrike" kern="1200" cap="all" spc="0" baseline="0">
                <a:solidFill>
                  <a:sysClr val="windowText" lastClr="000000"/>
                </a:solidFill>
                <a:latin typeface="+mn-lt"/>
                <a:ea typeface="+mn-ea"/>
                <a:cs typeface="+mn-cs"/>
              </a:defRPr>
            </a:pPr>
            <a:r>
              <a:rPr lang="en-IN" sz="1400" b="0" i="0" u="none" strike="noStrike" kern="1200" cap="all" baseline="0">
                <a:solidFill>
                  <a:sysClr val="windowText" lastClr="000000"/>
                </a:solidFill>
                <a:latin typeface="+mn-lt"/>
                <a:ea typeface="+mn-ea"/>
                <a:cs typeface="+mn-cs"/>
              </a:rPr>
              <a:t>Downtime Hours by Plant </a:t>
            </a:r>
            <a:endParaRPr lang="en-US" sz="1400" b="0" i="0" u="none" strike="noStrike" kern="1200" cap="all" baseline="0">
              <a:solidFill>
                <a:sysClr val="windowText" lastClr="000000"/>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sz="1400" b="0" i="0" u="none" strike="noStrike" kern="1200" cap="all"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333333333333344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1111111111111111"/>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2.7777777777777828E-2"/>
              <c:y val="-0.1990740740740740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8.333333333333344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2.7777777777777828E-2"/>
              <c:y val="-0.1990740740740740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111111111111111"/>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8.1939368233725399E-2"/>
              <c:y val="1.02700954229338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5.7001299640852474E-2"/>
              <c:y val="3.594533398026838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8.5501949461278814E-2"/>
              <c:y val="-4.7070726923392695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Design_Sheet!$F$59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E5-4A7D-A2A2-9B373A5543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E5-4A7D-A2A2-9B373A5543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E5-4A7D-A2A2-9B373A554334}"/>
              </c:ext>
            </c:extLst>
          </c:dPt>
          <c:dLbls>
            <c:dLbl>
              <c:idx val="0"/>
              <c:layout>
                <c:manualLayout>
                  <c:x val="8.1939368233725399E-2"/>
                  <c:y val="1.02700954229338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BDE5-4A7D-A2A2-9B373A554334}"/>
                </c:ext>
              </c:extLst>
            </c:dLbl>
            <c:dLbl>
              <c:idx val="1"/>
              <c:layout>
                <c:manualLayout>
                  <c:x val="5.7001299640852474E-2"/>
                  <c:y val="3.594533398026838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BDE5-4A7D-A2A2-9B373A554334}"/>
                </c:ext>
              </c:extLst>
            </c:dLbl>
            <c:dLbl>
              <c:idx val="2"/>
              <c:layout>
                <c:manualLayout>
                  <c:x val="-8.5501949461278814E-2"/>
                  <c:y val="-4.7070726923392695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BDE5-4A7D-A2A2-9B373A55433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Design_Sheet!$E$60:$E$62</c:f>
              <c:strCache>
                <c:ptCount val="3"/>
                <c:pt idx="0">
                  <c:v>Plant A</c:v>
                </c:pt>
                <c:pt idx="1">
                  <c:v>Plant B</c:v>
                </c:pt>
                <c:pt idx="2">
                  <c:v>Plant C</c:v>
                </c:pt>
              </c:strCache>
            </c:strRef>
          </c:cat>
          <c:val>
            <c:numRef>
              <c:f>Design_Sheet!$F$60:$F$62</c:f>
              <c:numCache>
                <c:formatCode>General</c:formatCode>
                <c:ptCount val="3"/>
                <c:pt idx="0">
                  <c:v>769.26999999999987</c:v>
                </c:pt>
                <c:pt idx="1">
                  <c:v>758.04</c:v>
                </c:pt>
                <c:pt idx="2">
                  <c:v>874.73</c:v>
                </c:pt>
              </c:numCache>
            </c:numRef>
          </c:val>
          <c:extLst>
            <c:ext xmlns:c16="http://schemas.microsoft.com/office/drawing/2014/chart" uri="{C3380CC4-5D6E-409C-BE32-E72D297353CC}">
              <c16:uniqueId val="{00000006-BDE5-4A7D-A2A2-9B373A554334}"/>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[Manufacturing_Dashboard_Final.xlsx]Design_Sheet!PivotTable21</c:name>
    <c:fmtId val="38"/>
  </c:pivotSource>
  <c:chart>
    <c:title>
      <c:tx>
        <c:rich>
          <a:bodyPr rot="0" spcFirstLastPara="1" vertOverflow="ellipsis" vert="horz" wrap="square" anchor="ctr" anchorCtr="1"/>
          <a:lstStyle/>
          <a:p>
            <a:pPr algn="ctr" rtl="0">
              <a:defRPr sz="1600" b="1" i="0" u="none" strike="noStrike" kern="1200" cap="all" spc="0" baseline="0">
                <a:solidFill>
                  <a:sysClr val="windowText" lastClr="000000"/>
                </a:solidFill>
                <a:latin typeface="+mn-lt"/>
                <a:ea typeface="+mn-ea"/>
                <a:cs typeface="+mn-cs"/>
              </a:defRPr>
            </a:pPr>
            <a:r>
              <a:rPr lang="en-IN" sz="1400" b="0" i="0" u="none" strike="noStrike" kern="1200" cap="all" baseline="0">
                <a:solidFill>
                  <a:sysClr val="windowText" lastClr="000000"/>
                </a:solidFill>
                <a:latin typeface="+mn-lt"/>
                <a:ea typeface="+mn-ea"/>
                <a:cs typeface="+mn-cs"/>
              </a:rPr>
              <a:t>Efficiency % vs. Downtime by Category </a:t>
            </a:r>
          </a:p>
        </c:rich>
      </c:tx>
      <c:overlay val="0"/>
      <c:spPr>
        <a:noFill/>
        <a:ln>
          <a:noFill/>
        </a:ln>
        <a:effectLst/>
      </c:spPr>
      <c:txPr>
        <a:bodyPr rot="0" spcFirstLastPara="1" vertOverflow="ellipsis" vert="horz" wrap="square" anchor="ctr" anchorCtr="1"/>
        <a:lstStyle/>
        <a:p>
          <a:pPr algn="ctr" rtl="0">
            <a:defRPr sz="1600" b="1" i="0" u="none" strike="noStrike" kern="1200" cap="all"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a:softEdge rad="0"/>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ln w="28575" cap="rnd">
            <a:solidFill>
              <a:schemeClr val="accent1"/>
            </a:solidFill>
            <a:round/>
          </a:ln>
          <a:effectLst/>
        </c:spPr>
        <c:marker>
          <c:symbol val="none"/>
        </c:marker>
        <c:dLbl>
          <c:idx val="0"/>
          <c:layout>
            <c:manualLayout>
              <c:x val="-0.10555555555555558"/>
              <c:y val="-0.11574074074074074"/>
            </c:manualLayout>
          </c:layout>
          <c:spPr>
            <a:solidFill>
              <a:sysClr val="window" lastClr="FFFFFF"/>
            </a:solidFill>
            <a:ln>
              <a:solidFill>
                <a:sysClr val="windowText" lastClr="000000">
                  <a:lumMod val="25000"/>
                  <a:lumOff val="75000"/>
                </a:sysClr>
              </a:solidFill>
            </a:ln>
            <a:effectLst>
              <a:softEdge rad="0"/>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ln w="28575" cap="rnd">
            <a:solidFill>
              <a:schemeClr val="accent1"/>
            </a:solidFill>
            <a:round/>
          </a:ln>
          <a:effectLst/>
        </c:spPr>
        <c:marker>
          <c:symbol val="none"/>
        </c:marker>
        <c:dLbl>
          <c:idx val="0"/>
          <c:layout>
            <c:manualLayout>
              <c:x val="-3.0555555555555555E-2"/>
              <c:y val="0.18518518518518523"/>
            </c:manualLayout>
          </c:layout>
          <c:spPr>
            <a:solidFill>
              <a:sysClr val="window" lastClr="FFFFFF"/>
            </a:solidFill>
            <a:ln>
              <a:solidFill>
                <a:sysClr val="windowText" lastClr="000000">
                  <a:lumMod val="25000"/>
                  <a:lumOff val="75000"/>
                </a:sysClr>
              </a:solidFill>
            </a:ln>
            <a:effectLst>
              <a:softEdge rad="0"/>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ln w="28575" cap="rnd">
            <a:solidFill>
              <a:schemeClr val="accent1"/>
            </a:solidFill>
            <a:round/>
          </a:ln>
          <a:effectLst/>
        </c:spPr>
        <c:marker>
          <c:symbol val="none"/>
        </c:marker>
        <c:dLbl>
          <c:idx val="0"/>
          <c:layout>
            <c:manualLayout>
              <c:x val="-3.3333333333333333E-2"/>
              <c:y val="8.7962962962963007E-2"/>
            </c:manualLayout>
          </c:layout>
          <c:spPr>
            <a:solidFill>
              <a:sysClr val="window" lastClr="FFFFFF"/>
            </a:solidFill>
            <a:ln>
              <a:solidFill>
                <a:sysClr val="windowText" lastClr="000000">
                  <a:lumMod val="25000"/>
                  <a:lumOff val="75000"/>
                </a:sysClr>
              </a:solidFill>
            </a:ln>
            <a:effectLst>
              <a:softEdge rad="0"/>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marker>
          <c:symbol val="none"/>
        </c:marker>
        <c:dLbl>
          <c:idx val="0"/>
          <c:layout>
            <c:manualLayout>
              <c:x val="-0.10555555555555558"/>
              <c:y val="-0.11574074074074074"/>
            </c:manualLayout>
          </c:layout>
          <c:spPr>
            <a:solidFill>
              <a:sysClr val="window" lastClr="FFFFFF"/>
            </a:solidFill>
            <a:ln>
              <a:solidFill>
                <a:sysClr val="windowText" lastClr="000000">
                  <a:lumMod val="25000"/>
                  <a:lumOff val="75000"/>
                </a:sysClr>
              </a:solidFill>
            </a:ln>
            <a:effectLst>
              <a:softEdge rad="0"/>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Design_Sheet!$F$66</c:f>
              <c:strCache>
                <c:ptCount val="1"/>
                <c:pt idx="0">
                  <c:v>Average of Efficiency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Design_Sheet!$E$67:$E$69</c:f>
              <c:strCache>
                <c:ptCount val="3"/>
                <c:pt idx="0">
                  <c:v>Electronics</c:v>
                </c:pt>
                <c:pt idx="1">
                  <c:v>Mechanical</c:v>
                </c:pt>
                <c:pt idx="2">
                  <c:v>Tools</c:v>
                </c:pt>
              </c:strCache>
            </c:strRef>
          </c:cat>
          <c:val>
            <c:numRef>
              <c:f>Design_Sheet!$F$67:$F$69</c:f>
              <c:numCache>
                <c:formatCode>0.00</c:formatCode>
                <c:ptCount val="3"/>
                <c:pt idx="0">
                  <c:v>83.474107142857136</c:v>
                </c:pt>
                <c:pt idx="1">
                  <c:v>85.281790123456787</c:v>
                </c:pt>
                <c:pt idx="2">
                  <c:v>84.176647058823534</c:v>
                </c:pt>
              </c:numCache>
            </c:numRef>
          </c:val>
          <c:extLst>
            <c:ext xmlns:c16="http://schemas.microsoft.com/office/drawing/2014/chart" uri="{C3380CC4-5D6E-409C-BE32-E72D297353CC}">
              <c16:uniqueId val="{00000000-81EA-4D49-B94E-1DA22C36F478}"/>
            </c:ext>
          </c:extLst>
        </c:ser>
        <c:dLbls>
          <c:showLegendKey val="0"/>
          <c:showVal val="1"/>
          <c:showCatName val="0"/>
          <c:showSerName val="0"/>
          <c:showPercent val="0"/>
          <c:showBubbleSize val="0"/>
        </c:dLbls>
        <c:gapWidth val="219"/>
        <c:overlap val="-27"/>
        <c:axId val="2004906527"/>
        <c:axId val="2004895967"/>
      </c:barChart>
      <c:lineChart>
        <c:grouping val="standard"/>
        <c:varyColors val="0"/>
        <c:ser>
          <c:idx val="1"/>
          <c:order val="1"/>
          <c:tx>
            <c:strRef>
              <c:f>Design_Sheet!$G$66</c:f>
              <c:strCache>
                <c:ptCount val="1"/>
                <c:pt idx="0">
                  <c:v>Downtime (Hours)</c:v>
                </c:pt>
              </c:strCache>
            </c:strRef>
          </c:tx>
          <c:spPr>
            <a:ln w="28575" cap="rnd">
              <a:solidFill>
                <a:schemeClr val="accent2"/>
              </a:solidFill>
              <a:round/>
            </a:ln>
            <a:effectLst/>
          </c:spPr>
          <c:marker>
            <c:symbol val="none"/>
          </c:marker>
          <c:dPt>
            <c:idx val="0"/>
            <c:marker>
              <c:symbol val="none"/>
            </c:marker>
            <c:bubble3D val="0"/>
            <c:extLst>
              <c:ext xmlns:c16="http://schemas.microsoft.com/office/drawing/2014/chart" uri="{C3380CC4-5D6E-409C-BE32-E72D297353CC}">
                <c16:uniqueId val="{00000002-81EA-4D49-B94E-1DA22C36F478}"/>
              </c:ext>
            </c:extLst>
          </c:dPt>
          <c:dPt>
            <c:idx val="1"/>
            <c:marker>
              <c:symbol val="none"/>
            </c:marker>
            <c:bubble3D val="0"/>
            <c:extLst>
              <c:ext xmlns:c16="http://schemas.microsoft.com/office/drawing/2014/chart" uri="{C3380CC4-5D6E-409C-BE32-E72D297353CC}">
                <c16:uniqueId val="{00000003-81EA-4D49-B94E-1DA22C36F478}"/>
              </c:ext>
            </c:extLst>
          </c:dPt>
          <c:dPt>
            <c:idx val="2"/>
            <c:marker>
              <c:symbol val="none"/>
            </c:marker>
            <c:bubble3D val="0"/>
            <c:extLst>
              <c:ext xmlns:c16="http://schemas.microsoft.com/office/drawing/2014/chart" uri="{C3380CC4-5D6E-409C-BE32-E72D297353CC}">
                <c16:uniqueId val="{00000004-81EA-4D49-B94E-1DA22C36F478}"/>
              </c:ext>
            </c:extLst>
          </c:dPt>
          <c:dLbls>
            <c:dLbl>
              <c:idx val="0"/>
              <c:layout>
                <c:manualLayout>
                  <c:x val="-0.10555555555555558"/>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EA-4D49-B94E-1DA22C36F478}"/>
                </c:ext>
              </c:extLst>
            </c:dLbl>
            <c:dLbl>
              <c:idx val="1"/>
              <c:layout>
                <c:manualLayout>
                  <c:x val="-3.0555555555555555E-2"/>
                  <c:y val="0.185185185185185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EA-4D49-B94E-1DA22C36F478}"/>
                </c:ext>
              </c:extLst>
            </c:dLbl>
            <c:dLbl>
              <c:idx val="2"/>
              <c:layout>
                <c:manualLayout>
                  <c:x val="-3.3333333333333333E-2"/>
                  <c:y val="8.79629629629630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1EA-4D49-B94E-1DA22C36F478}"/>
                </c:ext>
              </c:extLst>
            </c:dLbl>
            <c:spPr>
              <a:solidFill>
                <a:sysClr val="window" lastClr="FFFFFF"/>
              </a:solidFill>
              <a:ln>
                <a:solidFill>
                  <a:sysClr val="windowText" lastClr="000000">
                    <a:lumMod val="25000"/>
                    <a:lumOff val="75000"/>
                  </a:sysClr>
                </a:solidFill>
              </a:ln>
              <a:effectLst>
                <a:softEdge rad="0"/>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Design_Sheet!$E$67:$E$69</c:f>
              <c:strCache>
                <c:ptCount val="3"/>
                <c:pt idx="0">
                  <c:v>Electronics</c:v>
                </c:pt>
                <c:pt idx="1">
                  <c:v>Mechanical</c:v>
                </c:pt>
                <c:pt idx="2">
                  <c:v>Tools</c:v>
                </c:pt>
              </c:strCache>
            </c:strRef>
          </c:cat>
          <c:val>
            <c:numRef>
              <c:f>Design_Sheet!$G$67:$G$69</c:f>
              <c:numCache>
                <c:formatCode>General</c:formatCode>
                <c:ptCount val="3"/>
                <c:pt idx="0">
                  <c:v>784.88</c:v>
                </c:pt>
                <c:pt idx="1">
                  <c:v>809.34</c:v>
                </c:pt>
                <c:pt idx="2">
                  <c:v>807.82</c:v>
                </c:pt>
              </c:numCache>
            </c:numRef>
          </c:val>
          <c:smooth val="0"/>
          <c:extLst>
            <c:ext xmlns:c16="http://schemas.microsoft.com/office/drawing/2014/chart" uri="{C3380CC4-5D6E-409C-BE32-E72D297353CC}">
              <c16:uniqueId val="{00000001-81EA-4D49-B94E-1DA22C36F478}"/>
            </c:ext>
          </c:extLst>
        </c:ser>
        <c:dLbls>
          <c:showLegendKey val="0"/>
          <c:showVal val="1"/>
          <c:showCatName val="0"/>
          <c:showSerName val="0"/>
          <c:showPercent val="0"/>
          <c:showBubbleSize val="0"/>
        </c:dLbls>
        <c:marker val="1"/>
        <c:smooth val="0"/>
        <c:axId val="777203567"/>
        <c:axId val="777221327"/>
      </c:lineChart>
      <c:catAx>
        <c:axId val="200490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04895967"/>
        <c:crosses val="autoZero"/>
        <c:auto val="1"/>
        <c:lblAlgn val="ctr"/>
        <c:lblOffset val="100"/>
        <c:noMultiLvlLbl val="0"/>
      </c:catAx>
      <c:valAx>
        <c:axId val="200489596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04906527"/>
        <c:crosses val="autoZero"/>
        <c:crossBetween val="between"/>
      </c:valAx>
      <c:valAx>
        <c:axId val="77722132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77203567"/>
        <c:crosses val="max"/>
        <c:crossBetween val="between"/>
      </c:valAx>
      <c:catAx>
        <c:axId val="777203567"/>
        <c:scaling>
          <c:orientation val="minMax"/>
        </c:scaling>
        <c:delete val="1"/>
        <c:axPos val="b"/>
        <c:numFmt formatCode="General" sourceLinked="1"/>
        <c:majorTickMark val="out"/>
        <c:minorTickMark val="none"/>
        <c:tickLblPos val="nextTo"/>
        <c:crossAx val="77722132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[Manufacturing_Dashboard_Final.xlsx]Design_Sheet!PivotTable22</c:name>
    <c:fmtId val="38"/>
  </c:pivotSource>
  <c:chart>
    <c:title>
      <c:tx>
        <c:rich>
          <a:bodyPr rot="0" spcFirstLastPara="1" vertOverflow="ellipsis" vert="horz" wrap="square" anchor="ctr" anchorCtr="1"/>
          <a:lstStyle/>
          <a:p>
            <a:pPr algn="ctr" rtl="0">
              <a:defRPr sz="1400" b="1" i="0" u="none" strike="noStrike" kern="1200" cap="all" spc="0" baseline="0">
                <a:solidFill>
                  <a:sysClr val="windowText" lastClr="000000"/>
                </a:solidFill>
                <a:latin typeface="+mn-lt"/>
                <a:ea typeface="+mn-ea"/>
                <a:cs typeface="+mn-cs"/>
              </a:defRPr>
            </a:pPr>
            <a:r>
              <a:rPr lang="en-IN" sz="1400" b="0" i="0" u="none" strike="noStrike" cap="all" baseline="0">
                <a:effectLst/>
              </a:rPr>
              <a:t>Efficiency % vs. Downtime by Month</a:t>
            </a:r>
            <a:r>
              <a:rPr lang="en-IN" sz="1400" b="1" i="0" u="none" strike="noStrike" cap="all" baseline="0">
                <a:effectLst/>
              </a:rPr>
              <a:t> </a:t>
            </a:r>
            <a:endParaRPr lang="en-IN" sz="1400" b="1" i="0" u="none" strike="noStrike" kern="1200" cap="all" baseline="0">
              <a:solidFill>
                <a:sysClr val="windowText" lastClr="000000"/>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sz="1400" b="1" i="0" u="none" strike="noStrike" kern="1200" cap="all"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Design_Sheet!$F$72</c:f>
              <c:strCache>
                <c:ptCount val="1"/>
                <c:pt idx="0">
                  <c:v>Average of Efficiency (%)</c:v>
                </c:pt>
              </c:strCache>
            </c:strRef>
          </c:tx>
          <c:spPr>
            <a:solidFill>
              <a:schemeClr val="accent1"/>
            </a:solidFill>
            <a:ln>
              <a:noFill/>
            </a:ln>
            <a:effectLst/>
          </c:spPr>
          <c:invertIfNegative val="0"/>
          <c:cat>
            <c:strRef>
              <c:f>Design_Sheet!$E$73:$E$84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Design_Sheet!$F$73:$F$84</c:f>
              <c:numCache>
                <c:formatCode>0.00</c:formatCode>
                <c:ptCount val="12"/>
                <c:pt idx="0">
                  <c:v>84.912173913043475</c:v>
                </c:pt>
                <c:pt idx="1">
                  <c:v>85.114249999999998</c:v>
                </c:pt>
                <c:pt idx="2">
                  <c:v>82.022972972972966</c:v>
                </c:pt>
                <c:pt idx="3">
                  <c:v>83.521086956521728</c:v>
                </c:pt>
                <c:pt idx="4">
                  <c:v>84.999761904761897</c:v>
                </c:pt>
                <c:pt idx="5">
                  <c:v>84.746304347826083</c:v>
                </c:pt>
                <c:pt idx="6">
                  <c:v>86.376666666666665</c:v>
                </c:pt>
                <c:pt idx="7">
                  <c:v>81.654313725490198</c:v>
                </c:pt>
                <c:pt idx="8">
                  <c:v>86.534883720930239</c:v>
                </c:pt>
                <c:pt idx="9">
                  <c:v>84.3683870967742</c:v>
                </c:pt>
                <c:pt idx="10">
                  <c:v>84.11333333333333</c:v>
                </c:pt>
                <c:pt idx="11">
                  <c:v>83.630232558139539</c:v>
                </c:pt>
              </c:numCache>
            </c:numRef>
          </c:val>
          <c:extLst>
            <c:ext xmlns:c16="http://schemas.microsoft.com/office/drawing/2014/chart" uri="{C3380CC4-5D6E-409C-BE32-E72D297353CC}">
              <c16:uniqueId val="{00000000-523B-424D-9111-66584CD6598C}"/>
            </c:ext>
          </c:extLst>
        </c:ser>
        <c:dLbls>
          <c:showLegendKey val="0"/>
          <c:showVal val="0"/>
          <c:showCatName val="0"/>
          <c:showSerName val="0"/>
          <c:showPercent val="0"/>
          <c:showBubbleSize val="0"/>
        </c:dLbls>
        <c:gapWidth val="219"/>
        <c:overlap val="-27"/>
        <c:axId val="1841546943"/>
        <c:axId val="1841531583"/>
      </c:barChart>
      <c:lineChart>
        <c:grouping val="standard"/>
        <c:varyColors val="0"/>
        <c:ser>
          <c:idx val="1"/>
          <c:order val="1"/>
          <c:tx>
            <c:strRef>
              <c:f>Design_Sheet!$G$72</c:f>
              <c:strCache>
                <c:ptCount val="1"/>
                <c:pt idx="0">
                  <c:v>Downtime (Hours)</c:v>
                </c:pt>
              </c:strCache>
            </c:strRef>
          </c:tx>
          <c:spPr>
            <a:ln w="28575" cap="rnd">
              <a:solidFill>
                <a:schemeClr val="accent2"/>
              </a:solidFill>
              <a:round/>
            </a:ln>
            <a:effectLst/>
          </c:spPr>
          <c:marker>
            <c:symbol val="none"/>
          </c:marker>
          <c:cat>
            <c:strRef>
              <c:f>Design_Sheet!$E$73:$E$84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Design_Sheet!$G$73:$G$84</c:f>
              <c:numCache>
                <c:formatCode>General</c:formatCode>
                <c:ptCount val="12"/>
                <c:pt idx="0">
                  <c:v>251.23</c:v>
                </c:pt>
                <c:pt idx="1">
                  <c:v>233.98</c:v>
                </c:pt>
                <c:pt idx="2">
                  <c:v>199.81</c:v>
                </c:pt>
                <c:pt idx="3">
                  <c:v>205.97</c:v>
                </c:pt>
                <c:pt idx="4">
                  <c:v>191.31</c:v>
                </c:pt>
                <c:pt idx="5">
                  <c:v>197.83</c:v>
                </c:pt>
                <c:pt idx="6">
                  <c:v>174.52</c:v>
                </c:pt>
                <c:pt idx="7">
                  <c:v>207.08</c:v>
                </c:pt>
                <c:pt idx="8">
                  <c:v>202.86</c:v>
                </c:pt>
                <c:pt idx="9">
                  <c:v>161.86000000000001</c:v>
                </c:pt>
                <c:pt idx="10">
                  <c:v>191.26</c:v>
                </c:pt>
                <c:pt idx="11">
                  <c:v>184.33</c:v>
                </c:pt>
              </c:numCache>
            </c:numRef>
          </c:val>
          <c:smooth val="0"/>
          <c:extLst>
            <c:ext xmlns:c16="http://schemas.microsoft.com/office/drawing/2014/chart" uri="{C3380CC4-5D6E-409C-BE32-E72D297353CC}">
              <c16:uniqueId val="{00000001-523B-424D-9111-66584CD6598C}"/>
            </c:ext>
          </c:extLst>
        </c:ser>
        <c:dLbls>
          <c:showLegendKey val="0"/>
          <c:showVal val="0"/>
          <c:showCatName val="0"/>
          <c:showSerName val="0"/>
          <c:showPercent val="0"/>
          <c:showBubbleSize val="0"/>
        </c:dLbls>
        <c:marker val="1"/>
        <c:smooth val="0"/>
        <c:axId val="56033744"/>
        <c:axId val="56048144"/>
      </c:lineChart>
      <c:catAx>
        <c:axId val="184154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41531583"/>
        <c:crosses val="autoZero"/>
        <c:auto val="1"/>
        <c:lblAlgn val="ctr"/>
        <c:lblOffset val="100"/>
        <c:noMultiLvlLbl val="0"/>
      </c:catAx>
      <c:valAx>
        <c:axId val="18415315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41546943"/>
        <c:crosses val="autoZero"/>
        <c:crossBetween val="between"/>
      </c:valAx>
      <c:valAx>
        <c:axId val="560481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033744"/>
        <c:crosses val="max"/>
        <c:crossBetween val="between"/>
      </c:valAx>
      <c:catAx>
        <c:axId val="56033744"/>
        <c:scaling>
          <c:orientation val="minMax"/>
        </c:scaling>
        <c:delete val="1"/>
        <c:axPos val="b"/>
        <c:numFmt formatCode="General" sourceLinked="1"/>
        <c:majorTickMark val="out"/>
        <c:minorTickMark val="none"/>
        <c:tickLblPos val="nextTo"/>
        <c:crossAx val="56048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Cost &amp; Revenue'!A1"/><Relationship Id="rId3" Type="http://schemas.openxmlformats.org/officeDocument/2006/relationships/chart" Target="../charts/chart3.xml"/><Relationship Id="rId7" Type="http://schemas.openxmlformats.org/officeDocument/2006/relationships/hyperlink" Target="#'Quality Analysi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Production Analysis'!A1"/><Relationship Id="rId5" Type="http://schemas.openxmlformats.org/officeDocument/2006/relationships/hyperlink" Target="#Overview!A1"/><Relationship Id="rId4" Type="http://schemas.openxmlformats.org/officeDocument/2006/relationships/chart" Target="../charts/chart4.xml"/><Relationship Id="rId9" Type="http://schemas.openxmlformats.org/officeDocument/2006/relationships/hyperlink" Target="#'Efficiency &amp; Downtime'!A1"/></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hyperlink" Target="#'Quality Analysis'!A1"/><Relationship Id="rId7" Type="http://schemas.openxmlformats.org/officeDocument/2006/relationships/chart" Target="../charts/chart6.xml"/><Relationship Id="rId2" Type="http://schemas.openxmlformats.org/officeDocument/2006/relationships/hyperlink" Target="#'Production Analysis'!A1"/><Relationship Id="rId1" Type="http://schemas.openxmlformats.org/officeDocument/2006/relationships/hyperlink" Target="#Overview!A1"/><Relationship Id="rId6" Type="http://schemas.openxmlformats.org/officeDocument/2006/relationships/chart" Target="../charts/chart5.xml"/><Relationship Id="rId5" Type="http://schemas.openxmlformats.org/officeDocument/2006/relationships/hyperlink" Target="#'Efficiency &amp; Downtime'!A1"/><Relationship Id="rId4" Type="http://schemas.openxmlformats.org/officeDocument/2006/relationships/hyperlink" Target="#'Cost &amp; Revenue'!A1"/></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hyperlink" Target="#'Quality Analysis'!A1"/><Relationship Id="rId7" Type="http://schemas.openxmlformats.org/officeDocument/2006/relationships/chart" Target="../charts/chart9.xml"/><Relationship Id="rId2" Type="http://schemas.openxmlformats.org/officeDocument/2006/relationships/hyperlink" Target="#'Production Analysis'!A1"/><Relationship Id="rId1" Type="http://schemas.openxmlformats.org/officeDocument/2006/relationships/hyperlink" Target="#Overview!A1"/><Relationship Id="rId6" Type="http://schemas.openxmlformats.org/officeDocument/2006/relationships/chart" Target="../charts/chart8.xml"/><Relationship Id="rId5" Type="http://schemas.openxmlformats.org/officeDocument/2006/relationships/hyperlink" Target="#'Efficiency &amp; Downtime'!A1"/><Relationship Id="rId4" Type="http://schemas.openxmlformats.org/officeDocument/2006/relationships/hyperlink" Target="#'Cost &amp; Revenue'!A1"/></Relationships>
</file>

<file path=xl/drawings/_rels/drawing4.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hyperlink" Target="#'Quality Analysis'!A1"/><Relationship Id="rId7" Type="http://schemas.openxmlformats.org/officeDocument/2006/relationships/chart" Target="../charts/chart12.xml"/><Relationship Id="rId2" Type="http://schemas.openxmlformats.org/officeDocument/2006/relationships/hyperlink" Target="#'Production Analysis'!A1"/><Relationship Id="rId1" Type="http://schemas.openxmlformats.org/officeDocument/2006/relationships/hyperlink" Target="#Overview!A1"/><Relationship Id="rId6" Type="http://schemas.openxmlformats.org/officeDocument/2006/relationships/chart" Target="../charts/chart11.xml"/><Relationship Id="rId5" Type="http://schemas.openxmlformats.org/officeDocument/2006/relationships/hyperlink" Target="#'Efficiency &amp; Downtime'!A1"/><Relationship Id="rId4" Type="http://schemas.openxmlformats.org/officeDocument/2006/relationships/hyperlink" Target="#'Cost &amp; Revenue'!A1"/></Relationships>
</file>

<file path=xl/drawings/_rels/drawing5.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hyperlink" Target="#'Quality Analysis'!A1"/><Relationship Id="rId7" Type="http://schemas.openxmlformats.org/officeDocument/2006/relationships/chart" Target="../charts/chart15.xml"/><Relationship Id="rId2" Type="http://schemas.openxmlformats.org/officeDocument/2006/relationships/hyperlink" Target="#'Production Analysis'!A1"/><Relationship Id="rId1" Type="http://schemas.openxmlformats.org/officeDocument/2006/relationships/hyperlink" Target="#Overview!A1"/><Relationship Id="rId6" Type="http://schemas.openxmlformats.org/officeDocument/2006/relationships/chart" Target="../charts/chart14.xml"/><Relationship Id="rId5" Type="http://schemas.openxmlformats.org/officeDocument/2006/relationships/hyperlink" Target="#'Efficiency &amp; Downtime'!A1"/><Relationship Id="rId4" Type="http://schemas.openxmlformats.org/officeDocument/2006/relationships/hyperlink" Target="#'Cost &amp; Revenue'!A1"/></Relationships>
</file>

<file path=xl/drawings/drawing1.xml><?xml version="1.0" encoding="utf-8"?>
<xdr:wsDr xmlns:xdr="http://schemas.openxmlformats.org/drawingml/2006/spreadsheetDrawing" xmlns:a="http://schemas.openxmlformats.org/drawingml/2006/main">
  <xdr:twoCellAnchor>
    <xdr:from>
      <xdr:col>1</xdr:col>
      <xdr:colOff>57149</xdr:colOff>
      <xdr:row>0</xdr:row>
      <xdr:rowOff>57150</xdr:rowOff>
    </xdr:from>
    <xdr:to>
      <xdr:col>21</xdr:col>
      <xdr:colOff>266700</xdr:colOff>
      <xdr:row>32</xdr:row>
      <xdr:rowOff>180975</xdr:rowOff>
    </xdr:to>
    <xdr:sp macro="" textlink="">
      <xdr:nvSpPr>
        <xdr:cNvPr id="28" name="Rectangle 27">
          <a:extLst>
            <a:ext uri="{FF2B5EF4-FFF2-40B4-BE49-F238E27FC236}">
              <a16:creationId xmlns:a16="http://schemas.microsoft.com/office/drawing/2014/main" id="{39BF530B-8D53-BA68-4F8F-B5105CB58777}"/>
            </a:ext>
          </a:extLst>
        </xdr:cNvPr>
        <xdr:cNvSpPr/>
      </xdr:nvSpPr>
      <xdr:spPr>
        <a:xfrm>
          <a:off x="666749" y="57150"/>
          <a:ext cx="12401551" cy="6219825"/>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104775</xdr:colOff>
      <xdr:row>5</xdr:row>
      <xdr:rowOff>0</xdr:rowOff>
    </xdr:from>
    <xdr:to>
      <xdr:col>3</xdr:col>
      <xdr:colOff>325575</xdr:colOff>
      <xdr:row>11</xdr:row>
      <xdr:rowOff>153000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22145AE5-8C74-4549-9A91-ED2903F265F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14375" y="952500"/>
              <a:ext cx="1440000" cy="12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104775</xdr:colOff>
      <xdr:row>13</xdr:row>
      <xdr:rowOff>19050</xdr:rowOff>
    </xdr:from>
    <xdr:to>
      <xdr:col>3</xdr:col>
      <xdr:colOff>325575</xdr:colOff>
      <xdr:row>19</xdr:row>
      <xdr:rowOff>172050</xdr:rowOff>
    </xdr:to>
    <mc:AlternateContent xmlns:mc="http://schemas.openxmlformats.org/markup-compatibility/2006" xmlns:a14="http://schemas.microsoft.com/office/drawing/2010/main">
      <mc:Choice Requires="a14">
        <xdr:graphicFrame macro="">
          <xdr:nvGraphicFramePr>
            <xdr:cNvPr id="3" name="Manufacturing Plant">
              <a:extLst>
                <a:ext uri="{FF2B5EF4-FFF2-40B4-BE49-F238E27FC236}">
                  <a16:creationId xmlns:a16="http://schemas.microsoft.com/office/drawing/2014/main" id="{2002CEDC-F222-4E15-8CB1-C041FF8364B0}"/>
                </a:ext>
              </a:extLst>
            </xdr:cNvPr>
            <xdr:cNvGraphicFramePr/>
          </xdr:nvGraphicFramePr>
          <xdr:xfrm>
            <a:off x="0" y="0"/>
            <a:ext cx="0" cy="0"/>
          </xdr:xfrm>
          <a:graphic>
            <a:graphicData uri="http://schemas.microsoft.com/office/drawing/2010/slicer">
              <sle:slicer xmlns:sle="http://schemas.microsoft.com/office/drawing/2010/slicer" name="Manufacturing Plant"/>
            </a:graphicData>
          </a:graphic>
        </xdr:graphicFrame>
      </mc:Choice>
      <mc:Fallback xmlns="">
        <xdr:sp macro="" textlink="">
          <xdr:nvSpPr>
            <xdr:cNvPr id="0" name=""/>
            <xdr:cNvSpPr>
              <a:spLocks noTextEdit="1"/>
            </xdr:cNvSpPr>
          </xdr:nvSpPr>
          <xdr:spPr>
            <a:xfrm>
              <a:off x="714375" y="2495550"/>
              <a:ext cx="1440000" cy="12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104775</xdr:colOff>
      <xdr:row>21</xdr:row>
      <xdr:rowOff>19049</xdr:rowOff>
    </xdr:from>
    <xdr:to>
      <xdr:col>3</xdr:col>
      <xdr:colOff>325575</xdr:colOff>
      <xdr:row>32</xdr:row>
      <xdr:rowOff>83549</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D52F4C2C-D4AF-49DE-8AEE-E5DBB23F354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14375" y="4019549"/>
              <a:ext cx="144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598725</xdr:colOff>
      <xdr:row>21</xdr:row>
      <xdr:rowOff>19500</xdr:rowOff>
    </xdr:from>
    <xdr:to>
      <xdr:col>21</xdr:col>
      <xdr:colOff>209925</xdr:colOff>
      <xdr:row>32</xdr:row>
      <xdr:rowOff>84000</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5A36BFCE-0274-44A0-B9B6-13B39C7D546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571525" y="4020000"/>
              <a:ext cx="144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598725</xdr:colOff>
      <xdr:row>13</xdr:row>
      <xdr:rowOff>20700</xdr:rowOff>
    </xdr:from>
    <xdr:to>
      <xdr:col>21</xdr:col>
      <xdr:colOff>209925</xdr:colOff>
      <xdr:row>19</xdr:row>
      <xdr:rowOff>173700</xdr:rowOff>
    </xdr:to>
    <mc:AlternateContent xmlns:mc="http://schemas.openxmlformats.org/markup-compatibility/2006" xmlns:a14="http://schemas.microsoft.com/office/drawing/2010/main">
      <mc:Choice Requires="a14">
        <xdr:graphicFrame macro="">
          <xdr:nvGraphicFramePr>
            <xdr:cNvPr id="6" name="Supervisor">
              <a:extLst>
                <a:ext uri="{FF2B5EF4-FFF2-40B4-BE49-F238E27FC236}">
                  <a16:creationId xmlns:a16="http://schemas.microsoft.com/office/drawing/2014/main" id="{E3CBCDC9-DCF5-4936-98D5-1CDEFE49E715}"/>
                </a:ext>
              </a:extLst>
            </xdr:cNvPr>
            <xdr:cNvGraphicFramePr/>
          </xdr:nvGraphicFramePr>
          <xdr:xfrm>
            <a:off x="0" y="0"/>
            <a:ext cx="0" cy="0"/>
          </xdr:xfrm>
          <a:graphic>
            <a:graphicData uri="http://schemas.microsoft.com/office/drawing/2010/slicer">
              <sle:slicer xmlns:sle="http://schemas.microsoft.com/office/drawing/2010/slicer" name="Supervisor"/>
            </a:graphicData>
          </a:graphic>
        </xdr:graphicFrame>
      </mc:Choice>
      <mc:Fallback xmlns="">
        <xdr:sp macro="" textlink="">
          <xdr:nvSpPr>
            <xdr:cNvPr id="0" name=""/>
            <xdr:cNvSpPr>
              <a:spLocks noTextEdit="1"/>
            </xdr:cNvSpPr>
          </xdr:nvSpPr>
          <xdr:spPr>
            <a:xfrm>
              <a:off x="11571525" y="2497200"/>
              <a:ext cx="1440000" cy="12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598725</xdr:colOff>
      <xdr:row>5</xdr:row>
      <xdr:rowOff>0</xdr:rowOff>
    </xdr:from>
    <xdr:to>
      <xdr:col>21</xdr:col>
      <xdr:colOff>209925</xdr:colOff>
      <xdr:row>11</xdr:row>
      <xdr:rowOff>153000</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4F26155A-9035-4F83-AAC2-067A60663D6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571525" y="952500"/>
              <a:ext cx="1440000" cy="12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390525</xdr:colOff>
      <xdr:row>5</xdr:row>
      <xdr:rowOff>19050</xdr:rowOff>
    </xdr:from>
    <xdr:to>
      <xdr:col>18</xdr:col>
      <xdr:colOff>542925</xdr:colOff>
      <xdr:row>11</xdr:row>
      <xdr:rowOff>172050</xdr:rowOff>
    </xdr:to>
    <xdr:grpSp>
      <xdr:nvGrpSpPr>
        <xdr:cNvPr id="35" name="Group 34">
          <a:extLst>
            <a:ext uri="{FF2B5EF4-FFF2-40B4-BE49-F238E27FC236}">
              <a16:creationId xmlns:a16="http://schemas.microsoft.com/office/drawing/2014/main" id="{B46A02C5-BEAD-096E-33CA-BAAF75C61E70}"/>
            </a:ext>
          </a:extLst>
        </xdr:cNvPr>
        <xdr:cNvGrpSpPr/>
      </xdr:nvGrpSpPr>
      <xdr:grpSpPr>
        <a:xfrm>
          <a:off x="2219325" y="971550"/>
          <a:ext cx="9296400" cy="1296000"/>
          <a:chOff x="2219325" y="971550"/>
          <a:chExt cx="9296400" cy="1296000"/>
        </a:xfrm>
      </xdr:grpSpPr>
      <xdr:sp macro="" textlink="">
        <xdr:nvSpPr>
          <xdr:cNvPr id="8" name="Rectangle 7">
            <a:extLst>
              <a:ext uri="{FF2B5EF4-FFF2-40B4-BE49-F238E27FC236}">
                <a16:creationId xmlns:a16="http://schemas.microsoft.com/office/drawing/2014/main" id="{5E90C900-F3CB-EC85-D7AB-4D429FF68E70}"/>
              </a:ext>
            </a:extLst>
          </xdr:cNvPr>
          <xdr:cNvSpPr/>
        </xdr:nvSpPr>
        <xdr:spPr>
          <a:xfrm>
            <a:off x="2219325" y="971550"/>
            <a:ext cx="1800225" cy="1296000"/>
          </a:xfrm>
          <a:prstGeom prst="rect">
            <a:avLst/>
          </a:prstGeom>
          <a:solidFill>
            <a:schemeClr val="bg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Design_Sheet!A4">
        <xdr:nvSpPr>
          <xdr:cNvPr id="10" name="Rectangle 9">
            <a:extLst>
              <a:ext uri="{FF2B5EF4-FFF2-40B4-BE49-F238E27FC236}">
                <a16:creationId xmlns:a16="http://schemas.microsoft.com/office/drawing/2014/main" id="{B6BE9071-54DB-EE48-992E-FF6DFE5FE6DE}"/>
              </a:ext>
            </a:extLst>
          </xdr:cNvPr>
          <xdr:cNvSpPr/>
        </xdr:nvSpPr>
        <xdr:spPr>
          <a:xfrm>
            <a:off x="2286000" y="1038225"/>
            <a:ext cx="16668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A89AEFC-89EF-453C-8C98-1B538C519971}" type="TxLink">
              <a:rPr lang="en-US" sz="1200" b="0" i="0" u="none" strike="noStrike">
                <a:solidFill>
                  <a:sysClr val="windowText" lastClr="000000"/>
                </a:solidFill>
                <a:latin typeface="Arial Rounded MT Bold" panose="020F0704030504030204" pitchFamily="34" charset="0"/>
              </a:rPr>
              <a:pPr algn="ctr"/>
              <a:t>Quantity Produced</a:t>
            </a:fld>
            <a:endParaRPr lang="en-IN" sz="1200">
              <a:solidFill>
                <a:sysClr val="windowText" lastClr="000000"/>
              </a:solidFill>
              <a:latin typeface="Arial Rounded MT Bold" panose="020F0704030504030204" pitchFamily="34" charset="0"/>
            </a:endParaRPr>
          </a:p>
        </xdr:txBody>
      </xdr:sp>
      <xdr:sp macro="" textlink="Design_Sheet!A5">
        <xdr:nvSpPr>
          <xdr:cNvPr id="11" name="Rectangle 10">
            <a:extLst>
              <a:ext uri="{FF2B5EF4-FFF2-40B4-BE49-F238E27FC236}">
                <a16:creationId xmlns:a16="http://schemas.microsoft.com/office/drawing/2014/main" id="{BCFDA0C9-D193-44B0-9591-3E0B6B5EC69D}"/>
              </a:ext>
            </a:extLst>
          </xdr:cNvPr>
          <xdr:cNvSpPr/>
        </xdr:nvSpPr>
        <xdr:spPr>
          <a:xfrm>
            <a:off x="2286000" y="1323974"/>
            <a:ext cx="1666875" cy="900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3399A3F-E111-4A85-B697-1C915D264DB5}" type="TxLink">
              <a:rPr lang="en-US" sz="3200" b="0" i="0" u="none" strike="noStrike">
                <a:solidFill>
                  <a:schemeClr val="tx2">
                    <a:lumMod val="75000"/>
                    <a:lumOff val="25000"/>
                  </a:schemeClr>
                </a:solidFill>
                <a:latin typeface="Arial Rounded MT Bold" panose="020F0704030504030204" pitchFamily="34" charset="0"/>
              </a:rPr>
              <a:pPr algn="ctr"/>
              <a:t>1.3 M</a:t>
            </a:fld>
            <a:endParaRPr lang="en-IN" sz="3600">
              <a:solidFill>
                <a:schemeClr val="tx2">
                  <a:lumMod val="75000"/>
                  <a:lumOff val="25000"/>
                </a:schemeClr>
              </a:solidFill>
              <a:latin typeface="Arial Rounded MT Bold" panose="020F0704030504030204" pitchFamily="34" charset="0"/>
            </a:endParaRPr>
          </a:p>
        </xdr:txBody>
      </xdr:sp>
      <xdr:sp macro="" textlink="">
        <xdr:nvSpPr>
          <xdr:cNvPr id="12" name="Rectangle 11">
            <a:extLst>
              <a:ext uri="{FF2B5EF4-FFF2-40B4-BE49-F238E27FC236}">
                <a16:creationId xmlns:a16="http://schemas.microsoft.com/office/drawing/2014/main" id="{8F9F8C14-74FF-4FCE-A90F-8CFE2631645F}"/>
              </a:ext>
            </a:extLst>
          </xdr:cNvPr>
          <xdr:cNvSpPr/>
        </xdr:nvSpPr>
        <xdr:spPr>
          <a:xfrm>
            <a:off x="4086225" y="971550"/>
            <a:ext cx="1800225" cy="1296000"/>
          </a:xfrm>
          <a:prstGeom prst="rect">
            <a:avLst/>
          </a:prstGeom>
          <a:solidFill>
            <a:schemeClr val="bg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Design_Sheet!B4">
        <xdr:nvSpPr>
          <xdr:cNvPr id="13" name="Rectangle 12">
            <a:extLst>
              <a:ext uri="{FF2B5EF4-FFF2-40B4-BE49-F238E27FC236}">
                <a16:creationId xmlns:a16="http://schemas.microsoft.com/office/drawing/2014/main" id="{AC7ECAE2-744A-44B9-B7C2-A678129AA3B9}"/>
              </a:ext>
            </a:extLst>
          </xdr:cNvPr>
          <xdr:cNvSpPr/>
        </xdr:nvSpPr>
        <xdr:spPr>
          <a:xfrm>
            <a:off x="4152900" y="1038225"/>
            <a:ext cx="16668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12ADEBF-7932-4628-90EE-F45AA1640FCE}" type="TxLink">
              <a:rPr lang="en-US" sz="1200" b="0" i="0" u="none" strike="noStrike">
                <a:solidFill>
                  <a:srgbClr val="000000"/>
                </a:solidFill>
                <a:latin typeface="Arial Rounded MT Bold" panose="020F0704030504030204" pitchFamily="34" charset="0"/>
              </a:rPr>
              <a:pPr algn="ctr"/>
              <a:t>Total Defects</a:t>
            </a:fld>
            <a:endParaRPr lang="en-IN" sz="1400">
              <a:solidFill>
                <a:sysClr val="windowText" lastClr="000000"/>
              </a:solidFill>
              <a:latin typeface="Arial Rounded MT Bold" panose="020F0704030504030204" pitchFamily="34" charset="0"/>
            </a:endParaRPr>
          </a:p>
        </xdr:txBody>
      </xdr:sp>
      <xdr:sp macro="" textlink="Design_Sheet!B5">
        <xdr:nvSpPr>
          <xdr:cNvPr id="14" name="Rectangle 13">
            <a:extLst>
              <a:ext uri="{FF2B5EF4-FFF2-40B4-BE49-F238E27FC236}">
                <a16:creationId xmlns:a16="http://schemas.microsoft.com/office/drawing/2014/main" id="{91920294-1321-4E7C-8152-20C7BFD85D3A}"/>
              </a:ext>
            </a:extLst>
          </xdr:cNvPr>
          <xdr:cNvSpPr/>
        </xdr:nvSpPr>
        <xdr:spPr>
          <a:xfrm>
            <a:off x="4152900" y="1323974"/>
            <a:ext cx="1666875" cy="900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A29DBC6-1C48-4505-978E-60271EF0FE91}" type="TxLink">
              <a:rPr lang="en-US" sz="3200" b="0" i="0" u="none" strike="noStrike">
                <a:solidFill>
                  <a:schemeClr val="tx2">
                    <a:lumMod val="75000"/>
                    <a:lumOff val="25000"/>
                  </a:schemeClr>
                </a:solidFill>
                <a:latin typeface="Arial Rounded MT Bold" panose="020F0704030504030204" pitchFamily="34" charset="0"/>
              </a:rPr>
              <a:pPr algn="ctr"/>
              <a:t>12,615</a:t>
            </a:fld>
            <a:endParaRPr lang="en-IN" sz="6000">
              <a:solidFill>
                <a:schemeClr val="tx2">
                  <a:lumMod val="75000"/>
                  <a:lumOff val="25000"/>
                </a:schemeClr>
              </a:solidFill>
              <a:latin typeface="Arial Rounded MT Bold" panose="020F0704030504030204" pitchFamily="34" charset="0"/>
            </a:endParaRPr>
          </a:p>
        </xdr:txBody>
      </xdr:sp>
      <xdr:sp macro="" textlink="">
        <xdr:nvSpPr>
          <xdr:cNvPr id="15" name="Rectangle 14">
            <a:extLst>
              <a:ext uri="{FF2B5EF4-FFF2-40B4-BE49-F238E27FC236}">
                <a16:creationId xmlns:a16="http://schemas.microsoft.com/office/drawing/2014/main" id="{32F2A963-7C34-47B7-89CF-50A5422C2ECF}"/>
              </a:ext>
            </a:extLst>
          </xdr:cNvPr>
          <xdr:cNvSpPr/>
        </xdr:nvSpPr>
        <xdr:spPr>
          <a:xfrm>
            <a:off x="5962650" y="971550"/>
            <a:ext cx="1800225" cy="1296000"/>
          </a:xfrm>
          <a:prstGeom prst="rect">
            <a:avLst/>
          </a:prstGeom>
          <a:solidFill>
            <a:schemeClr val="bg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Design_Sheet!C4">
        <xdr:nvSpPr>
          <xdr:cNvPr id="16" name="Rectangle 15">
            <a:extLst>
              <a:ext uri="{FF2B5EF4-FFF2-40B4-BE49-F238E27FC236}">
                <a16:creationId xmlns:a16="http://schemas.microsoft.com/office/drawing/2014/main" id="{DC5BAD41-EA90-4EAE-8DD0-3830FE3EFAE3}"/>
              </a:ext>
            </a:extLst>
          </xdr:cNvPr>
          <xdr:cNvSpPr/>
        </xdr:nvSpPr>
        <xdr:spPr>
          <a:xfrm>
            <a:off x="6029325" y="1038225"/>
            <a:ext cx="16668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E3C368E-4568-4533-8688-EE9C09E7E374}" type="TxLink">
              <a:rPr lang="en-US" sz="1200" b="0" i="0" u="none" strike="noStrike">
                <a:solidFill>
                  <a:srgbClr val="000000"/>
                </a:solidFill>
                <a:latin typeface="Arial Rounded MT Bold" panose="020F0704030504030204" pitchFamily="34" charset="0"/>
              </a:rPr>
              <a:pPr algn="ctr"/>
              <a:t>Production Cost ($)</a:t>
            </a:fld>
            <a:endParaRPr lang="en-IN" sz="1400">
              <a:solidFill>
                <a:sysClr val="windowText" lastClr="000000"/>
              </a:solidFill>
              <a:latin typeface="Arial Rounded MT Bold" panose="020F0704030504030204" pitchFamily="34" charset="0"/>
            </a:endParaRPr>
          </a:p>
        </xdr:txBody>
      </xdr:sp>
      <xdr:sp macro="" textlink="Design_Sheet!C5">
        <xdr:nvSpPr>
          <xdr:cNvPr id="17" name="Rectangle 16">
            <a:extLst>
              <a:ext uri="{FF2B5EF4-FFF2-40B4-BE49-F238E27FC236}">
                <a16:creationId xmlns:a16="http://schemas.microsoft.com/office/drawing/2014/main" id="{474F2487-1BE5-40DC-BD95-60615179284D}"/>
              </a:ext>
            </a:extLst>
          </xdr:cNvPr>
          <xdr:cNvSpPr/>
        </xdr:nvSpPr>
        <xdr:spPr>
          <a:xfrm>
            <a:off x="6029325" y="1323974"/>
            <a:ext cx="1666875" cy="900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8610F23-7CA9-405B-9751-7625DFD4264E}" type="TxLink">
              <a:rPr lang="en-US" sz="3200" b="0" i="0" u="none" strike="noStrike">
                <a:solidFill>
                  <a:schemeClr val="tx2">
                    <a:lumMod val="75000"/>
                    <a:lumOff val="25000"/>
                  </a:schemeClr>
                </a:solidFill>
                <a:latin typeface="Arial Rounded MT Bold" panose="020F0704030504030204" pitchFamily="34" charset="0"/>
              </a:rPr>
              <a:pPr algn="ctr"/>
              <a:t>₹ 13.3 M</a:t>
            </a:fld>
            <a:endParaRPr lang="en-IN" sz="6000">
              <a:solidFill>
                <a:schemeClr val="tx2">
                  <a:lumMod val="75000"/>
                  <a:lumOff val="25000"/>
                </a:schemeClr>
              </a:solidFill>
              <a:latin typeface="Arial Rounded MT Bold" panose="020F0704030504030204" pitchFamily="34" charset="0"/>
            </a:endParaRPr>
          </a:p>
        </xdr:txBody>
      </xdr:sp>
      <xdr:sp macro="" textlink="">
        <xdr:nvSpPr>
          <xdr:cNvPr id="18" name="Rectangle 17">
            <a:extLst>
              <a:ext uri="{FF2B5EF4-FFF2-40B4-BE49-F238E27FC236}">
                <a16:creationId xmlns:a16="http://schemas.microsoft.com/office/drawing/2014/main" id="{C5E30903-EAB9-4930-B2AA-AA6194F7EE0D}"/>
              </a:ext>
            </a:extLst>
          </xdr:cNvPr>
          <xdr:cNvSpPr/>
        </xdr:nvSpPr>
        <xdr:spPr>
          <a:xfrm>
            <a:off x="7839075" y="971550"/>
            <a:ext cx="1800225" cy="1296000"/>
          </a:xfrm>
          <a:prstGeom prst="rect">
            <a:avLst/>
          </a:prstGeom>
          <a:solidFill>
            <a:schemeClr val="bg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Design_Sheet!D4">
        <xdr:nvSpPr>
          <xdr:cNvPr id="19" name="Rectangle 18">
            <a:extLst>
              <a:ext uri="{FF2B5EF4-FFF2-40B4-BE49-F238E27FC236}">
                <a16:creationId xmlns:a16="http://schemas.microsoft.com/office/drawing/2014/main" id="{E159813A-1A0B-4340-9337-DC7694114ADE}"/>
              </a:ext>
            </a:extLst>
          </xdr:cNvPr>
          <xdr:cNvSpPr/>
        </xdr:nvSpPr>
        <xdr:spPr>
          <a:xfrm>
            <a:off x="7905750" y="1038225"/>
            <a:ext cx="16668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5CD1CBB-AA27-4A7B-8428-E4C2188C6A6E}" type="TxLink">
              <a:rPr lang="en-US" sz="1200" b="0" i="0" u="none" strike="noStrike">
                <a:solidFill>
                  <a:srgbClr val="000000"/>
                </a:solidFill>
                <a:latin typeface="Arial Rounded MT Bold" panose="020F0704030504030204" pitchFamily="34" charset="0"/>
              </a:rPr>
              <a:pPr algn="ctr"/>
              <a:t>Sales Revenue ($)</a:t>
            </a:fld>
            <a:endParaRPr lang="en-IN" sz="1400">
              <a:solidFill>
                <a:sysClr val="windowText" lastClr="000000"/>
              </a:solidFill>
              <a:latin typeface="Arial Rounded MT Bold" panose="020F0704030504030204" pitchFamily="34" charset="0"/>
            </a:endParaRPr>
          </a:p>
        </xdr:txBody>
      </xdr:sp>
      <xdr:sp macro="" textlink="Design_Sheet!D5">
        <xdr:nvSpPr>
          <xdr:cNvPr id="20" name="Rectangle 19">
            <a:extLst>
              <a:ext uri="{FF2B5EF4-FFF2-40B4-BE49-F238E27FC236}">
                <a16:creationId xmlns:a16="http://schemas.microsoft.com/office/drawing/2014/main" id="{55469B4D-4F72-4093-8C0E-C072F22DAD78}"/>
              </a:ext>
            </a:extLst>
          </xdr:cNvPr>
          <xdr:cNvSpPr/>
        </xdr:nvSpPr>
        <xdr:spPr>
          <a:xfrm>
            <a:off x="7905750" y="1323974"/>
            <a:ext cx="1666875" cy="900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87D49F8-D8AD-4EC3-89D8-8B7F85C69F31}" type="TxLink">
              <a:rPr lang="en-US" sz="3200" b="0" i="0" u="none" strike="noStrike">
                <a:solidFill>
                  <a:schemeClr val="tx2">
                    <a:lumMod val="75000"/>
                    <a:lumOff val="25000"/>
                  </a:schemeClr>
                </a:solidFill>
                <a:latin typeface="Arial Rounded MT Bold" panose="020F0704030504030204" pitchFamily="34" charset="0"/>
              </a:rPr>
              <a:pPr algn="ctr"/>
              <a:t>₹ 17.2 M</a:t>
            </a:fld>
            <a:endParaRPr lang="en-IN" sz="6000">
              <a:solidFill>
                <a:schemeClr val="tx2">
                  <a:lumMod val="75000"/>
                  <a:lumOff val="25000"/>
                </a:schemeClr>
              </a:solidFill>
              <a:latin typeface="Arial Rounded MT Bold" panose="020F0704030504030204" pitchFamily="34" charset="0"/>
            </a:endParaRPr>
          </a:p>
        </xdr:txBody>
      </xdr:sp>
      <xdr:sp macro="" textlink="">
        <xdr:nvSpPr>
          <xdr:cNvPr id="21" name="Rectangle 20">
            <a:extLst>
              <a:ext uri="{FF2B5EF4-FFF2-40B4-BE49-F238E27FC236}">
                <a16:creationId xmlns:a16="http://schemas.microsoft.com/office/drawing/2014/main" id="{F34BCC11-6628-4FDD-9776-2BF91E055E27}"/>
              </a:ext>
            </a:extLst>
          </xdr:cNvPr>
          <xdr:cNvSpPr/>
        </xdr:nvSpPr>
        <xdr:spPr>
          <a:xfrm>
            <a:off x="9715500" y="971550"/>
            <a:ext cx="1800225" cy="1296000"/>
          </a:xfrm>
          <a:prstGeom prst="rect">
            <a:avLst/>
          </a:prstGeom>
          <a:solidFill>
            <a:schemeClr val="bg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Design_Sheet!E4">
        <xdr:nvSpPr>
          <xdr:cNvPr id="22" name="Rectangle 21">
            <a:extLst>
              <a:ext uri="{FF2B5EF4-FFF2-40B4-BE49-F238E27FC236}">
                <a16:creationId xmlns:a16="http://schemas.microsoft.com/office/drawing/2014/main" id="{C1BC185F-0195-4831-B8C5-A726605E8F01}"/>
              </a:ext>
            </a:extLst>
          </xdr:cNvPr>
          <xdr:cNvSpPr/>
        </xdr:nvSpPr>
        <xdr:spPr>
          <a:xfrm>
            <a:off x="9782175" y="1038225"/>
            <a:ext cx="16668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621E433-2C92-453D-AF5C-AA0C9D1ACB16}" type="TxLink">
              <a:rPr lang="en-US" sz="1200" b="0" i="0" u="none" strike="noStrike">
                <a:solidFill>
                  <a:srgbClr val="000000"/>
                </a:solidFill>
                <a:latin typeface="Arial Rounded MT Bold" panose="020F0704030504030204" pitchFamily="34" charset="0"/>
              </a:rPr>
              <a:pPr algn="ctr"/>
              <a:t>Efficiency (%)</a:t>
            </a:fld>
            <a:endParaRPr lang="en-IN" sz="1400">
              <a:solidFill>
                <a:sysClr val="windowText" lastClr="000000"/>
              </a:solidFill>
              <a:latin typeface="Arial Rounded MT Bold" panose="020F0704030504030204" pitchFamily="34" charset="0"/>
            </a:endParaRPr>
          </a:p>
        </xdr:txBody>
      </xdr:sp>
      <xdr:sp macro="" textlink="Design_Sheet!E5">
        <xdr:nvSpPr>
          <xdr:cNvPr id="23" name="Rectangle 22">
            <a:extLst>
              <a:ext uri="{FF2B5EF4-FFF2-40B4-BE49-F238E27FC236}">
                <a16:creationId xmlns:a16="http://schemas.microsoft.com/office/drawing/2014/main" id="{AF83070E-3E58-4636-85A0-543F40A4E312}"/>
              </a:ext>
            </a:extLst>
          </xdr:cNvPr>
          <xdr:cNvSpPr/>
        </xdr:nvSpPr>
        <xdr:spPr>
          <a:xfrm>
            <a:off x="9782175" y="1323974"/>
            <a:ext cx="1666875" cy="900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C1D8B0D-1568-4A2F-8E0B-6F01099EA754}" type="TxLink">
              <a:rPr lang="en-US" sz="3200" b="0" i="0" u="none" strike="noStrike">
                <a:solidFill>
                  <a:schemeClr val="tx2">
                    <a:lumMod val="75000"/>
                    <a:lumOff val="25000"/>
                  </a:schemeClr>
                </a:solidFill>
                <a:latin typeface="Arial Rounded MT Bold" panose="020F0704030504030204" pitchFamily="34" charset="0"/>
              </a:rPr>
              <a:pPr algn="ctr"/>
              <a:t>84.30</a:t>
            </a:fld>
            <a:endParaRPr lang="en-IN" sz="6000">
              <a:solidFill>
                <a:schemeClr val="tx2">
                  <a:lumMod val="75000"/>
                  <a:lumOff val="25000"/>
                </a:schemeClr>
              </a:solidFill>
              <a:latin typeface="Arial Rounded MT Bold" panose="020F0704030504030204" pitchFamily="34" charset="0"/>
            </a:endParaRPr>
          </a:p>
        </xdr:txBody>
      </xdr:sp>
    </xdr:grpSp>
    <xdr:clientData/>
  </xdr:twoCellAnchor>
  <xdr:twoCellAnchor>
    <xdr:from>
      <xdr:col>9</xdr:col>
      <xdr:colOff>66675</xdr:colOff>
      <xdr:row>12</xdr:row>
      <xdr:rowOff>33338</xdr:rowOff>
    </xdr:from>
    <xdr:to>
      <xdr:col>14</xdr:col>
      <xdr:colOff>78675</xdr:colOff>
      <xdr:row>22</xdr:row>
      <xdr:rowOff>108338</xdr:rowOff>
    </xdr:to>
    <xdr:graphicFrame macro="">
      <xdr:nvGraphicFramePr>
        <xdr:cNvPr id="24" name="Chart 23">
          <a:extLst>
            <a:ext uri="{FF2B5EF4-FFF2-40B4-BE49-F238E27FC236}">
              <a16:creationId xmlns:a16="http://schemas.microsoft.com/office/drawing/2014/main" id="{B2F4DAAD-962E-4FDB-B974-18985422D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123825</xdr:colOff>
      <xdr:row>12</xdr:row>
      <xdr:rowOff>28575</xdr:rowOff>
    </xdr:from>
    <xdr:to>
      <xdr:col>18</xdr:col>
      <xdr:colOff>547425</xdr:colOff>
      <xdr:row>22</xdr:row>
      <xdr:rowOff>103575</xdr:rowOff>
    </xdr:to>
    <xdr:graphicFrame macro="">
      <xdr:nvGraphicFramePr>
        <xdr:cNvPr id="25" name="Chart 24">
          <a:extLst>
            <a:ext uri="{FF2B5EF4-FFF2-40B4-BE49-F238E27FC236}">
              <a16:creationId xmlns:a16="http://schemas.microsoft.com/office/drawing/2014/main" id="{1D97134D-388D-4827-A0C7-A5353E133D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371475</xdr:colOff>
      <xdr:row>12</xdr:row>
      <xdr:rowOff>28575</xdr:rowOff>
    </xdr:from>
    <xdr:to>
      <xdr:col>9</xdr:col>
      <xdr:colOff>19050</xdr:colOff>
      <xdr:row>32</xdr:row>
      <xdr:rowOff>123825</xdr:rowOff>
    </xdr:to>
    <xdr:graphicFrame macro="">
      <xdr:nvGraphicFramePr>
        <xdr:cNvPr id="26" name="Chart 25">
          <a:extLst>
            <a:ext uri="{FF2B5EF4-FFF2-40B4-BE49-F238E27FC236}">
              <a16:creationId xmlns:a16="http://schemas.microsoft.com/office/drawing/2014/main" id="{4619EF2E-339F-46FB-93F2-D6875B45B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76201</xdr:colOff>
      <xdr:row>23</xdr:row>
      <xdr:rowOff>28574</xdr:rowOff>
    </xdr:from>
    <xdr:to>
      <xdr:col>18</xdr:col>
      <xdr:colOff>533401</xdr:colOff>
      <xdr:row>32</xdr:row>
      <xdr:rowOff>133349</xdr:rowOff>
    </xdr:to>
    <xdr:graphicFrame macro="">
      <xdr:nvGraphicFramePr>
        <xdr:cNvPr id="27" name="Chart 26">
          <a:extLst>
            <a:ext uri="{FF2B5EF4-FFF2-40B4-BE49-F238E27FC236}">
              <a16:creationId xmlns:a16="http://schemas.microsoft.com/office/drawing/2014/main" id="{BC706F58-A099-4B3C-A8F8-D3D7FEF6A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57358</xdr:colOff>
      <xdr:row>0</xdr:row>
      <xdr:rowOff>57150</xdr:rowOff>
    </xdr:from>
    <xdr:to>
      <xdr:col>21</xdr:col>
      <xdr:colOff>267358</xdr:colOff>
      <xdr:row>4</xdr:row>
      <xdr:rowOff>165735</xdr:rowOff>
    </xdr:to>
    <xdr:sp macro="" textlink="">
      <xdr:nvSpPr>
        <xdr:cNvPr id="38" name="Rectangle: Rounded Corners 37">
          <a:extLst>
            <a:ext uri="{FF2B5EF4-FFF2-40B4-BE49-F238E27FC236}">
              <a16:creationId xmlns:a16="http://schemas.microsoft.com/office/drawing/2014/main" id="{D79A9AFB-125E-30D0-8830-A7988334CAB7}"/>
            </a:ext>
          </a:extLst>
        </xdr:cNvPr>
        <xdr:cNvSpPr/>
      </xdr:nvSpPr>
      <xdr:spPr>
        <a:xfrm>
          <a:off x="666958" y="57150"/>
          <a:ext cx="12402000" cy="87058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ysClr val="windowText" lastClr="000000"/>
              </a:solidFill>
              <a:latin typeface="Arial Rounded MT Bold" panose="020F0704030504030204" pitchFamily="34" charset="0"/>
            </a:rPr>
            <a:t>MANUFACTURING</a:t>
          </a:r>
          <a:r>
            <a:rPr lang="en-IN" sz="2000" baseline="0">
              <a:solidFill>
                <a:sysClr val="windowText" lastClr="000000"/>
              </a:solidFill>
              <a:latin typeface="Arial Rounded MT Bold" panose="020F0704030504030204" pitchFamily="34" charset="0"/>
            </a:rPr>
            <a:t> DASHBOARD</a:t>
          </a:r>
          <a:endParaRPr lang="en-IN" sz="2000">
            <a:solidFill>
              <a:sysClr val="windowText" lastClr="000000"/>
            </a:solidFill>
            <a:latin typeface="Arial Rounded MT Bold" panose="020F0704030504030204" pitchFamily="34" charset="0"/>
          </a:endParaRPr>
        </a:p>
      </xdr:txBody>
    </xdr:sp>
    <xdr:clientData/>
  </xdr:twoCellAnchor>
  <xdr:twoCellAnchor>
    <xdr:from>
      <xdr:col>1</xdr:col>
      <xdr:colOff>190501</xdr:colOff>
      <xdr:row>2</xdr:row>
      <xdr:rowOff>169987</xdr:rowOff>
    </xdr:from>
    <xdr:to>
      <xdr:col>4</xdr:col>
      <xdr:colOff>102579</xdr:colOff>
      <xdr:row>4</xdr:row>
      <xdr:rowOff>169987</xdr:rowOff>
    </xdr:to>
    <xdr:sp macro="" textlink="">
      <xdr:nvSpPr>
        <xdr:cNvPr id="44" name="Rectangle 43">
          <a:hlinkClick xmlns:r="http://schemas.openxmlformats.org/officeDocument/2006/relationships" r:id="rId5"/>
          <a:extLst>
            <a:ext uri="{FF2B5EF4-FFF2-40B4-BE49-F238E27FC236}">
              <a16:creationId xmlns:a16="http://schemas.microsoft.com/office/drawing/2014/main" id="{1B6F19AD-E00B-4110-A8AA-A28899E8D08C}"/>
            </a:ext>
          </a:extLst>
        </xdr:cNvPr>
        <xdr:cNvSpPr/>
      </xdr:nvSpPr>
      <xdr:spPr>
        <a:xfrm>
          <a:off x="805963" y="550987"/>
          <a:ext cx="1758462" cy="38100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i="0" u="none" strike="noStrike">
              <a:solidFill>
                <a:sysClr val="windowText" lastClr="000000"/>
              </a:solidFill>
              <a:effectLst/>
              <a:latin typeface="Arial Rounded MT Bold" panose="020F0704030504030204" pitchFamily="34" charset="0"/>
              <a:ea typeface="+mn-ea"/>
              <a:cs typeface="+mn-cs"/>
            </a:rPr>
            <a:t>Overview</a:t>
          </a:r>
          <a:endParaRPr lang="en-IN" sz="2000">
            <a:solidFill>
              <a:sysClr val="windowText" lastClr="000000"/>
            </a:solidFill>
            <a:latin typeface="Arial Rounded MT Bold" panose="020F0704030504030204" pitchFamily="34" charset="0"/>
          </a:endParaRPr>
        </a:p>
      </xdr:txBody>
    </xdr:sp>
    <xdr:clientData/>
  </xdr:twoCellAnchor>
  <xdr:twoCellAnchor>
    <xdr:from>
      <xdr:col>4</xdr:col>
      <xdr:colOff>225670</xdr:colOff>
      <xdr:row>2</xdr:row>
      <xdr:rowOff>146539</xdr:rowOff>
    </xdr:from>
    <xdr:to>
      <xdr:col>8</xdr:col>
      <xdr:colOff>427824</xdr:colOff>
      <xdr:row>4</xdr:row>
      <xdr:rowOff>146539</xdr:rowOff>
    </xdr:to>
    <xdr:sp macro="" textlink="">
      <xdr:nvSpPr>
        <xdr:cNvPr id="45" name="Rectangle 44">
          <a:hlinkClick xmlns:r="http://schemas.openxmlformats.org/officeDocument/2006/relationships" r:id="rId6"/>
          <a:extLst>
            <a:ext uri="{FF2B5EF4-FFF2-40B4-BE49-F238E27FC236}">
              <a16:creationId xmlns:a16="http://schemas.microsoft.com/office/drawing/2014/main" id="{6CA9AF6B-ECFC-4989-878E-8D5E98D5F9D9}"/>
            </a:ext>
          </a:extLst>
        </xdr:cNvPr>
        <xdr:cNvSpPr/>
      </xdr:nvSpPr>
      <xdr:spPr>
        <a:xfrm>
          <a:off x="2687516" y="527539"/>
          <a:ext cx="2664000" cy="3810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lt1"/>
              </a:solidFill>
              <a:effectLst/>
              <a:latin typeface="Arial Rounded MT Bold" panose="020F0704030504030204" pitchFamily="34" charset="0"/>
              <a:ea typeface="+mn-ea"/>
              <a:cs typeface="+mn-cs"/>
            </a:rPr>
            <a:t>Production Analysis</a:t>
          </a:r>
          <a:r>
            <a:rPr lang="en-IN" sz="1800">
              <a:effectLst/>
              <a:latin typeface="Arial Rounded MT Bold" panose="020F0704030504030204" pitchFamily="34" charset="0"/>
            </a:rPr>
            <a:t> </a:t>
          </a:r>
          <a:endParaRPr lang="en-IN" sz="1800">
            <a:latin typeface="Arial Rounded MT Bold" panose="020F0704030504030204" pitchFamily="34" charset="0"/>
          </a:endParaRPr>
        </a:p>
      </xdr:txBody>
    </xdr:sp>
    <xdr:clientData/>
  </xdr:twoCellAnchor>
  <xdr:twoCellAnchor>
    <xdr:from>
      <xdr:col>8</xdr:col>
      <xdr:colOff>539272</xdr:colOff>
      <xdr:row>2</xdr:row>
      <xdr:rowOff>152399</xdr:rowOff>
    </xdr:from>
    <xdr:to>
      <xdr:col>12</xdr:col>
      <xdr:colOff>309426</xdr:colOff>
      <xdr:row>4</xdr:row>
      <xdr:rowOff>152399</xdr:rowOff>
    </xdr:to>
    <xdr:sp macro="" textlink="">
      <xdr:nvSpPr>
        <xdr:cNvPr id="46" name="Rectangle 45">
          <a:hlinkClick xmlns:r="http://schemas.openxmlformats.org/officeDocument/2006/relationships" r:id="rId7"/>
          <a:extLst>
            <a:ext uri="{FF2B5EF4-FFF2-40B4-BE49-F238E27FC236}">
              <a16:creationId xmlns:a16="http://schemas.microsoft.com/office/drawing/2014/main" id="{C7258DC4-0BA6-4BC2-8F6B-D4EAEBC9CFC5}"/>
            </a:ext>
          </a:extLst>
        </xdr:cNvPr>
        <xdr:cNvSpPr/>
      </xdr:nvSpPr>
      <xdr:spPr>
        <a:xfrm>
          <a:off x="5462964" y="533399"/>
          <a:ext cx="2232000" cy="3810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lt1"/>
              </a:solidFill>
              <a:effectLst/>
              <a:latin typeface="Arial Rounded MT Bold" panose="020F0704030504030204" pitchFamily="34" charset="0"/>
              <a:ea typeface="+mn-ea"/>
              <a:cs typeface="+mn-cs"/>
            </a:rPr>
            <a:t>Quality Analysis</a:t>
          </a:r>
          <a:r>
            <a:rPr lang="en-IN" sz="1800">
              <a:effectLst/>
              <a:latin typeface="Arial Rounded MT Bold" panose="020F0704030504030204" pitchFamily="34" charset="0"/>
            </a:rPr>
            <a:t> </a:t>
          </a:r>
          <a:endParaRPr lang="en-IN" sz="1800">
            <a:latin typeface="Arial Rounded MT Bold" panose="020F0704030504030204" pitchFamily="34" charset="0"/>
          </a:endParaRPr>
        </a:p>
      </xdr:txBody>
    </xdr:sp>
    <xdr:clientData/>
  </xdr:twoCellAnchor>
  <xdr:twoCellAnchor>
    <xdr:from>
      <xdr:col>12</xdr:col>
      <xdr:colOff>407387</xdr:colOff>
      <xdr:row>2</xdr:row>
      <xdr:rowOff>152399</xdr:rowOff>
    </xdr:from>
    <xdr:to>
      <xdr:col>16</xdr:col>
      <xdr:colOff>105540</xdr:colOff>
      <xdr:row>4</xdr:row>
      <xdr:rowOff>152399</xdr:rowOff>
    </xdr:to>
    <xdr:sp macro="" textlink="">
      <xdr:nvSpPr>
        <xdr:cNvPr id="47" name="Rectangle 46">
          <a:hlinkClick xmlns:r="http://schemas.openxmlformats.org/officeDocument/2006/relationships" r:id="rId8"/>
          <a:extLst>
            <a:ext uri="{FF2B5EF4-FFF2-40B4-BE49-F238E27FC236}">
              <a16:creationId xmlns:a16="http://schemas.microsoft.com/office/drawing/2014/main" id="{3DB9AF39-6817-49EF-80A5-AA7A3FD3C492}"/>
            </a:ext>
          </a:extLst>
        </xdr:cNvPr>
        <xdr:cNvSpPr/>
      </xdr:nvSpPr>
      <xdr:spPr>
        <a:xfrm>
          <a:off x="7792925" y="533399"/>
          <a:ext cx="2160000" cy="3810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lt1"/>
              </a:solidFill>
              <a:effectLst/>
              <a:latin typeface="Arial Rounded MT Bold" panose="020F0704030504030204" pitchFamily="34" charset="0"/>
              <a:ea typeface="+mn-ea"/>
              <a:cs typeface="+mn-cs"/>
            </a:rPr>
            <a:t>Cost &amp; Revenue</a:t>
          </a:r>
          <a:endParaRPr lang="en-IN" sz="1800">
            <a:latin typeface="Arial Rounded MT Bold" panose="020F0704030504030204" pitchFamily="34" charset="0"/>
          </a:endParaRPr>
        </a:p>
      </xdr:txBody>
    </xdr:sp>
    <xdr:clientData/>
  </xdr:twoCellAnchor>
  <xdr:twoCellAnchor>
    <xdr:from>
      <xdr:col>16</xdr:col>
      <xdr:colOff>208097</xdr:colOff>
      <xdr:row>2</xdr:row>
      <xdr:rowOff>158259</xdr:rowOff>
    </xdr:from>
    <xdr:to>
      <xdr:col>21</xdr:col>
      <xdr:colOff>118790</xdr:colOff>
      <xdr:row>4</xdr:row>
      <xdr:rowOff>158259</xdr:rowOff>
    </xdr:to>
    <xdr:sp macro="" textlink="">
      <xdr:nvSpPr>
        <xdr:cNvPr id="48" name="Rectangle 47">
          <a:hlinkClick xmlns:r="http://schemas.openxmlformats.org/officeDocument/2006/relationships" r:id="rId9"/>
          <a:extLst>
            <a:ext uri="{FF2B5EF4-FFF2-40B4-BE49-F238E27FC236}">
              <a16:creationId xmlns:a16="http://schemas.microsoft.com/office/drawing/2014/main" id="{6A1D4075-1446-41A7-86A9-6685D6EF8F42}"/>
            </a:ext>
          </a:extLst>
        </xdr:cNvPr>
        <xdr:cNvSpPr/>
      </xdr:nvSpPr>
      <xdr:spPr>
        <a:xfrm>
          <a:off x="10055482" y="539259"/>
          <a:ext cx="2988000" cy="3810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lt1"/>
              </a:solidFill>
              <a:effectLst/>
              <a:latin typeface="Arial Rounded MT Bold" panose="020F0704030504030204" pitchFamily="34" charset="0"/>
              <a:ea typeface="+mn-ea"/>
              <a:cs typeface="+mn-cs"/>
            </a:rPr>
            <a:t>Efficiency &amp; Downtime</a:t>
          </a:r>
          <a:endParaRPr lang="en-IN" sz="1800">
            <a:latin typeface="Arial Rounded MT Bold" panose="020F0704030504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57149</xdr:colOff>
      <xdr:row>0</xdr:row>
      <xdr:rowOff>57150</xdr:rowOff>
    </xdr:from>
    <xdr:to>
      <xdr:col>21</xdr:col>
      <xdr:colOff>266700</xdr:colOff>
      <xdr:row>32</xdr:row>
      <xdr:rowOff>180975</xdr:rowOff>
    </xdr:to>
    <xdr:sp macro="" textlink="">
      <xdr:nvSpPr>
        <xdr:cNvPr id="2" name="Rectangle 1">
          <a:extLst>
            <a:ext uri="{FF2B5EF4-FFF2-40B4-BE49-F238E27FC236}">
              <a16:creationId xmlns:a16="http://schemas.microsoft.com/office/drawing/2014/main" id="{8367ADB0-0DBD-4BC2-90A2-A6172033EBA5}"/>
            </a:ext>
          </a:extLst>
        </xdr:cNvPr>
        <xdr:cNvSpPr/>
      </xdr:nvSpPr>
      <xdr:spPr>
        <a:xfrm>
          <a:off x="666749" y="57150"/>
          <a:ext cx="12401551" cy="6219825"/>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104775</xdr:colOff>
      <xdr:row>5</xdr:row>
      <xdr:rowOff>0</xdr:rowOff>
    </xdr:from>
    <xdr:to>
      <xdr:col>3</xdr:col>
      <xdr:colOff>325575</xdr:colOff>
      <xdr:row>11</xdr:row>
      <xdr:rowOff>153000</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48457642-A32B-B512-D4E2-C3FCA7885FA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14375" y="952500"/>
              <a:ext cx="1440000" cy="12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104775</xdr:colOff>
      <xdr:row>13</xdr:row>
      <xdr:rowOff>19050</xdr:rowOff>
    </xdr:from>
    <xdr:to>
      <xdr:col>3</xdr:col>
      <xdr:colOff>325575</xdr:colOff>
      <xdr:row>19</xdr:row>
      <xdr:rowOff>172050</xdr:rowOff>
    </xdr:to>
    <mc:AlternateContent xmlns:mc="http://schemas.openxmlformats.org/markup-compatibility/2006" xmlns:a14="http://schemas.microsoft.com/office/drawing/2010/main">
      <mc:Choice Requires="a14">
        <xdr:graphicFrame macro="">
          <xdr:nvGraphicFramePr>
            <xdr:cNvPr id="5" name="Manufacturing Plant 1">
              <a:extLst>
                <a:ext uri="{FF2B5EF4-FFF2-40B4-BE49-F238E27FC236}">
                  <a16:creationId xmlns:a16="http://schemas.microsoft.com/office/drawing/2014/main" id="{D9BF969D-EB6E-A76B-C4DB-F1FD4AA3B32E}"/>
                </a:ext>
              </a:extLst>
            </xdr:cNvPr>
            <xdr:cNvGraphicFramePr/>
          </xdr:nvGraphicFramePr>
          <xdr:xfrm>
            <a:off x="0" y="0"/>
            <a:ext cx="0" cy="0"/>
          </xdr:xfrm>
          <a:graphic>
            <a:graphicData uri="http://schemas.microsoft.com/office/drawing/2010/slicer">
              <sle:slicer xmlns:sle="http://schemas.microsoft.com/office/drawing/2010/slicer" name="Manufacturing Plant 1"/>
            </a:graphicData>
          </a:graphic>
        </xdr:graphicFrame>
      </mc:Choice>
      <mc:Fallback xmlns="">
        <xdr:sp macro="" textlink="">
          <xdr:nvSpPr>
            <xdr:cNvPr id="0" name=""/>
            <xdr:cNvSpPr>
              <a:spLocks noTextEdit="1"/>
            </xdr:cNvSpPr>
          </xdr:nvSpPr>
          <xdr:spPr>
            <a:xfrm>
              <a:off x="714375" y="2495550"/>
              <a:ext cx="1440000" cy="12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104775</xdr:colOff>
      <xdr:row>21</xdr:row>
      <xdr:rowOff>19049</xdr:rowOff>
    </xdr:from>
    <xdr:to>
      <xdr:col>3</xdr:col>
      <xdr:colOff>325575</xdr:colOff>
      <xdr:row>32</xdr:row>
      <xdr:rowOff>83549</xdr:rowOff>
    </xdr:to>
    <mc:AlternateContent xmlns:mc="http://schemas.openxmlformats.org/markup-compatibility/2006" xmlns:a14="http://schemas.microsoft.com/office/drawing/2010/main">
      <mc:Choice Requires="a14">
        <xdr:graphicFrame macro="">
          <xdr:nvGraphicFramePr>
            <xdr:cNvPr id="6" name="Product 1">
              <a:extLst>
                <a:ext uri="{FF2B5EF4-FFF2-40B4-BE49-F238E27FC236}">
                  <a16:creationId xmlns:a16="http://schemas.microsoft.com/office/drawing/2014/main" id="{C4698B21-0C14-59DB-E690-D5F6F810F89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14375" y="4019549"/>
              <a:ext cx="144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598725</xdr:colOff>
      <xdr:row>21</xdr:row>
      <xdr:rowOff>19500</xdr:rowOff>
    </xdr:from>
    <xdr:to>
      <xdr:col>21</xdr:col>
      <xdr:colOff>209925</xdr:colOff>
      <xdr:row>32</xdr:row>
      <xdr:rowOff>84000</xdr:rowOff>
    </xdr:to>
    <mc:AlternateContent xmlns:mc="http://schemas.openxmlformats.org/markup-compatibility/2006" xmlns:a14="http://schemas.microsoft.com/office/drawing/2010/main">
      <mc:Choice Requires="a14">
        <xdr:graphicFrame macro="">
          <xdr:nvGraphicFramePr>
            <xdr:cNvPr id="8" name="Month 1">
              <a:extLst>
                <a:ext uri="{FF2B5EF4-FFF2-40B4-BE49-F238E27FC236}">
                  <a16:creationId xmlns:a16="http://schemas.microsoft.com/office/drawing/2014/main" id="{786B16E8-7AED-593C-68A6-AE9E1B3FFCD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571525" y="4020000"/>
              <a:ext cx="144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598725</xdr:colOff>
      <xdr:row>13</xdr:row>
      <xdr:rowOff>20700</xdr:rowOff>
    </xdr:from>
    <xdr:to>
      <xdr:col>21</xdr:col>
      <xdr:colOff>209925</xdr:colOff>
      <xdr:row>19</xdr:row>
      <xdr:rowOff>173700</xdr:rowOff>
    </xdr:to>
    <mc:AlternateContent xmlns:mc="http://schemas.openxmlformats.org/markup-compatibility/2006" xmlns:a14="http://schemas.microsoft.com/office/drawing/2010/main">
      <mc:Choice Requires="a14">
        <xdr:graphicFrame macro="">
          <xdr:nvGraphicFramePr>
            <xdr:cNvPr id="9" name="Supervisor 1">
              <a:extLst>
                <a:ext uri="{FF2B5EF4-FFF2-40B4-BE49-F238E27FC236}">
                  <a16:creationId xmlns:a16="http://schemas.microsoft.com/office/drawing/2014/main" id="{02062A17-775C-A0E2-DA0A-64011F34FB78}"/>
                </a:ext>
              </a:extLst>
            </xdr:cNvPr>
            <xdr:cNvGraphicFramePr/>
          </xdr:nvGraphicFramePr>
          <xdr:xfrm>
            <a:off x="0" y="0"/>
            <a:ext cx="0" cy="0"/>
          </xdr:xfrm>
          <a:graphic>
            <a:graphicData uri="http://schemas.microsoft.com/office/drawing/2010/slicer">
              <sle:slicer xmlns:sle="http://schemas.microsoft.com/office/drawing/2010/slicer" name="Supervisor 1"/>
            </a:graphicData>
          </a:graphic>
        </xdr:graphicFrame>
      </mc:Choice>
      <mc:Fallback xmlns="">
        <xdr:sp macro="" textlink="">
          <xdr:nvSpPr>
            <xdr:cNvPr id="0" name=""/>
            <xdr:cNvSpPr>
              <a:spLocks noTextEdit="1"/>
            </xdr:cNvSpPr>
          </xdr:nvSpPr>
          <xdr:spPr>
            <a:xfrm>
              <a:off x="11571525" y="2497200"/>
              <a:ext cx="1440000" cy="12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598725</xdr:colOff>
      <xdr:row>5</xdr:row>
      <xdr:rowOff>0</xdr:rowOff>
    </xdr:from>
    <xdr:to>
      <xdr:col>21</xdr:col>
      <xdr:colOff>209925</xdr:colOff>
      <xdr:row>11</xdr:row>
      <xdr:rowOff>153000</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4D4E8E7D-615E-A51B-F47F-56A012A166E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571525" y="952500"/>
              <a:ext cx="1440000" cy="12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57358</xdr:colOff>
      <xdr:row>0</xdr:row>
      <xdr:rowOff>57150</xdr:rowOff>
    </xdr:from>
    <xdr:to>
      <xdr:col>21</xdr:col>
      <xdr:colOff>267358</xdr:colOff>
      <xdr:row>4</xdr:row>
      <xdr:rowOff>165735</xdr:rowOff>
    </xdr:to>
    <xdr:sp macro="" textlink="">
      <xdr:nvSpPr>
        <xdr:cNvPr id="31" name="Rectangle: Rounded Corners 37">
          <a:extLst>
            <a:ext uri="{FF2B5EF4-FFF2-40B4-BE49-F238E27FC236}">
              <a16:creationId xmlns:a16="http://schemas.microsoft.com/office/drawing/2014/main" id="{B5AAAD15-95AF-4917-8287-4B7A46C349E9}"/>
            </a:ext>
          </a:extLst>
        </xdr:cNvPr>
        <xdr:cNvSpPr/>
      </xdr:nvSpPr>
      <xdr:spPr>
        <a:xfrm>
          <a:off x="666958" y="57150"/>
          <a:ext cx="12402000" cy="870585"/>
        </a:xfrm>
        <a:prstGeom prst="rect">
          <a:avLst/>
        </a:prstGeom>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ysClr val="windowText" lastClr="000000"/>
              </a:solidFill>
              <a:latin typeface="Arial Rounded MT Bold" panose="020F0704030504030204" pitchFamily="34" charset="0"/>
            </a:rPr>
            <a:t>MANUFACTURING</a:t>
          </a:r>
          <a:r>
            <a:rPr lang="en-IN" sz="2000" baseline="0">
              <a:solidFill>
                <a:sysClr val="windowText" lastClr="000000"/>
              </a:solidFill>
              <a:latin typeface="Arial Rounded MT Bold" panose="020F0704030504030204" pitchFamily="34" charset="0"/>
            </a:rPr>
            <a:t> DASHBOARD</a:t>
          </a:r>
          <a:endParaRPr lang="en-IN" sz="2000">
            <a:solidFill>
              <a:sysClr val="windowText" lastClr="000000"/>
            </a:solidFill>
            <a:latin typeface="Arial Rounded MT Bold" panose="020F0704030504030204" pitchFamily="34" charset="0"/>
          </a:endParaRPr>
        </a:p>
      </xdr:txBody>
    </xdr:sp>
    <xdr:clientData/>
  </xdr:twoCellAnchor>
  <xdr:twoCellAnchor>
    <xdr:from>
      <xdr:col>1</xdr:col>
      <xdr:colOff>190501</xdr:colOff>
      <xdr:row>2</xdr:row>
      <xdr:rowOff>140679</xdr:rowOff>
    </xdr:from>
    <xdr:to>
      <xdr:col>4</xdr:col>
      <xdr:colOff>102579</xdr:colOff>
      <xdr:row>4</xdr:row>
      <xdr:rowOff>140679</xdr:rowOff>
    </xdr:to>
    <xdr:sp macro="" textlink="">
      <xdr:nvSpPr>
        <xdr:cNvPr id="32" name="Rectangle 31">
          <a:hlinkClick xmlns:r="http://schemas.openxmlformats.org/officeDocument/2006/relationships" r:id="rId1"/>
          <a:extLst>
            <a:ext uri="{FF2B5EF4-FFF2-40B4-BE49-F238E27FC236}">
              <a16:creationId xmlns:a16="http://schemas.microsoft.com/office/drawing/2014/main" id="{29741E51-A5C3-4BB4-B870-B70E7D55D60E}"/>
            </a:ext>
          </a:extLst>
        </xdr:cNvPr>
        <xdr:cNvSpPr/>
      </xdr:nvSpPr>
      <xdr:spPr>
        <a:xfrm>
          <a:off x="805963" y="521679"/>
          <a:ext cx="1758462" cy="3810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bg1"/>
              </a:solidFill>
              <a:effectLst/>
              <a:latin typeface="Arial Rounded MT Bold" panose="020F0704030504030204" pitchFamily="34" charset="0"/>
              <a:ea typeface="+mn-ea"/>
              <a:cs typeface="+mn-cs"/>
            </a:rPr>
            <a:t>Overview</a:t>
          </a:r>
          <a:endParaRPr lang="en-IN" sz="1800">
            <a:solidFill>
              <a:schemeClr val="bg1"/>
            </a:solidFill>
            <a:latin typeface="Arial Rounded MT Bold" panose="020F0704030504030204" pitchFamily="34" charset="0"/>
          </a:endParaRPr>
        </a:p>
      </xdr:txBody>
    </xdr:sp>
    <xdr:clientData/>
  </xdr:twoCellAnchor>
  <xdr:twoCellAnchor>
    <xdr:from>
      <xdr:col>4</xdr:col>
      <xdr:colOff>225670</xdr:colOff>
      <xdr:row>2</xdr:row>
      <xdr:rowOff>175847</xdr:rowOff>
    </xdr:from>
    <xdr:to>
      <xdr:col>8</xdr:col>
      <xdr:colOff>427824</xdr:colOff>
      <xdr:row>4</xdr:row>
      <xdr:rowOff>175847</xdr:rowOff>
    </xdr:to>
    <xdr:sp macro="" textlink="">
      <xdr:nvSpPr>
        <xdr:cNvPr id="33" name="Rectangle 32">
          <a:hlinkClick xmlns:r="http://schemas.openxmlformats.org/officeDocument/2006/relationships" r:id="rId2"/>
          <a:extLst>
            <a:ext uri="{FF2B5EF4-FFF2-40B4-BE49-F238E27FC236}">
              <a16:creationId xmlns:a16="http://schemas.microsoft.com/office/drawing/2014/main" id="{0278ACEE-E3AE-49FB-B214-779AC88E7406}"/>
            </a:ext>
          </a:extLst>
        </xdr:cNvPr>
        <xdr:cNvSpPr/>
      </xdr:nvSpPr>
      <xdr:spPr>
        <a:xfrm>
          <a:off x="2687516" y="556847"/>
          <a:ext cx="2664000" cy="38100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ysClr val="windowText" lastClr="000000"/>
              </a:solidFill>
              <a:effectLst/>
              <a:latin typeface="Arial Rounded MT Bold" panose="020F0704030504030204" pitchFamily="34" charset="0"/>
              <a:ea typeface="+mn-ea"/>
              <a:cs typeface="+mn-cs"/>
            </a:rPr>
            <a:t>Production Analysis</a:t>
          </a:r>
          <a:r>
            <a:rPr lang="en-IN" sz="1800">
              <a:solidFill>
                <a:sysClr val="windowText" lastClr="000000"/>
              </a:solidFill>
              <a:effectLst/>
              <a:latin typeface="Arial Rounded MT Bold" panose="020F0704030504030204" pitchFamily="34" charset="0"/>
            </a:rPr>
            <a:t> </a:t>
          </a:r>
          <a:endParaRPr lang="en-IN" sz="1800">
            <a:solidFill>
              <a:sysClr val="windowText" lastClr="000000"/>
            </a:solidFill>
            <a:latin typeface="Arial Rounded MT Bold" panose="020F0704030504030204" pitchFamily="34" charset="0"/>
          </a:endParaRPr>
        </a:p>
      </xdr:txBody>
    </xdr:sp>
    <xdr:clientData/>
  </xdr:twoCellAnchor>
  <xdr:twoCellAnchor>
    <xdr:from>
      <xdr:col>8</xdr:col>
      <xdr:colOff>539272</xdr:colOff>
      <xdr:row>2</xdr:row>
      <xdr:rowOff>152399</xdr:rowOff>
    </xdr:from>
    <xdr:to>
      <xdr:col>12</xdr:col>
      <xdr:colOff>309426</xdr:colOff>
      <xdr:row>4</xdr:row>
      <xdr:rowOff>152399</xdr:rowOff>
    </xdr:to>
    <xdr:sp macro="" textlink="">
      <xdr:nvSpPr>
        <xdr:cNvPr id="34" name="Rectangle 33">
          <a:hlinkClick xmlns:r="http://schemas.openxmlformats.org/officeDocument/2006/relationships" r:id="rId3"/>
          <a:extLst>
            <a:ext uri="{FF2B5EF4-FFF2-40B4-BE49-F238E27FC236}">
              <a16:creationId xmlns:a16="http://schemas.microsoft.com/office/drawing/2014/main" id="{D83A40B6-EBBE-47E3-9844-B8B2D16C97D0}"/>
            </a:ext>
          </a:extLst>
        </xdr:cNvPr>
        <xdr:cNvSpPr/>
      </xdr:nvSpPr>
      <xdr:spPr>
        <a:xfrm>
          <a:off x="5416072" y="533399"/>
          <a:ext cx="2208554" cy="3810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lt1"/>
              </a:solidFill>
              <a:effectLst/>
              <a:latin typeface="Arial Rounded MT Bold" panose="020F0704030504030204" pitchFamily="34" charset="0"/>
              <a:ea typeface="+mn-ea"/>
              <a:cs typeface="+mn-cs"/>
            </a:rPr>
            <a:t>Quality Analysis</a:t>
          </a:r>
          <a:r>
            <a:rPr lang="en-IN" sz="1800">
              <a:effectLst/>
              <a:latin typeface="Arial Rounded MT Bold" panose="020F0704030504030204" pitchFamily="34" charset="0"/>
            </a:rPr>
            <a:t> </a:t>
          </a:r>
          <a:endParaRPr lang="en-IN" sz="1800">
            <a:latin typeface="Arial Rounded MT Bold" panose="020F0704030504030204" pitchFamily="34" charset="0"/>
          </a:endParaRPr>
        </a:p>
      </xdr:txBody>
    </xdr:sp>
    <xdr:clientData/>
  </xdr:twoCellAnchor>
  <xdr:twoCellAnchor>
    <xdr:from>
      <xdr:col>12</xdr:col>
      <xdr:colOff>407387</xdr:colOff>
      <xdr:row>2</xdr:row>
      <xdr:rowOff>152399</xdr:rowOff>
    </xdr:from>
    <xdr:to>
      <xdr:col>16</xdr:col>
      <xdr:colOff>105540</xdr:colOff>
      <xdr:row>4</xdr:row>
      <xdr:rowOff>152399</xdr:rowOff>
    </xdr:to>
    <xdr:sp macro="" textlink="">
      <xdr:nvSpPr>
        <xdr:cNvPr id="35" name="Rectangle 34">
          <a:hlinkClick xmlns:r="http://schemas.openxmlformats.org/officeDocument/2006/relationships" r:id="rId4"/>
          <a:extLst>
            <a:ext uri="{FF2B5EF4-FFF2-40B4-BE49-F238E27FC236}">
              <a16:creationId xmlns:a16="http://schemas.microsoft.com/office/drawing/2014/main" id="{BE7D035B-D275-4A1E-91DD-E27742D5BAE4}"/>
            </a:ext>
          </a:extLst>
        </xdr:cNvPr>
        <xdr:cNvSpPr/>
      </xdr:nvSpPr>
      <xdr:spPr>
        <a:xfrm>
          <a:off x="7722587" y="533399"/>
          <a:ext cx="2136553" cy="3810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lt1"/>
              </a:solidFill>
              <a:effectLst/>
              <a:latin typeface="Arial Rounded MT Bold" panose="020F0704030504030204" pitchFamily="34" charset="0"/>
              <a:ea typeface="+mn-ea"/>
              <a:cs typeface="+mn-cs"/>
            </a:rPr>
            <a:t>Cost &amp; Revenue</a:t>
          </a:r>
          <a:endParaRPr lang="en-IN" sz="1800">
            <a:latin typeface="Arial Rounded MT Bold" panose="020F0704030504030204" pitchFamily="34" charset="0"/>
          </a:endParaRPr>
        </a:p>
      </xdr:txBody>
    </xdr:sp>
    <xdr:clientData/>
  </xdr:twoCellAnchor>
  <xdr:twoCellAnchor>
    <xdr:from>
      <xdr:col>16</xdr:col>
      <xdr:colOff>208097</xdr:colOff>
      <xdr:row>2</xdr:row>
      <xdr:rowOff>158259</xdr:rowOff>
    </xdr:from>
    <xdr:to>
      <xdr:col>21</xdr:col>
      <xdr:colOff>118790</xdr:colOff>
      <xdr:row>4</xdr:row>
      <xdr:rowOff>158259</xdr:rowOff>
    </xdr:to>
    <xdr:sp macro="" textlink="">
      <xdr:nvSpPr>
        <xdr:cNvPr id="36" name="Rectangle 35">
          <a:hlinkClick xmlns:r="http://schemas.openxmlformats.org/officeDocument/2006/relationships" r:id="rId5"/>
          <a:extLst>
            <a:ext uri="{FF2B5EF4-FFF2-40B4-BE49-F238E27FC236}">
              <a16:creationId xmlns:a16="http://schemas.microsoft.com/office/drawing/2014/main" id="{6BB263E8-C1BE-4A55-8573-0307441EDE1B}"/>
            </a:ext>
          </a:extLst>
        </xdr:cNvPr>
        <xdr:cNvSpPr/>
      </xdr:nvSpPr>
      <xdr:spPr>
        <a:xfrm>
          <a:off x="9961697" y="539259"/>
          <a:ext cx="2958693" cy="3810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lt1"/>
              </a:solidFill>
              <a:effectLst/>
              <a:latin typeface="Arial Rounded MT Bold" panose="020F0704030504030204" pitchFamily="34" charset="0"/>
              <a:ea typeface="+mn-ea"/>
              <a:cs typeface="+mn-cs"/>
            </a:rPr>
            <a:t>Efficiency &amp; Downtime</a:t>
          </a:r>
          <a:endParaRPr lang="en-IN" sz="1800">
            <a:latin typeface="Arial Rounded MT Bold" panose="020F0704030504030204" pitchFamily="34" charset="0"/>
          </a:endParaRPr>
        </a:p>
      </xdr:txBody>
    </xdr:sp>
    <xdr:clientData/>
  </xdr:twoCellAnchor>
  <xdr:twoCellAnchor>
    <xdr:from>
      <xdr:col>3</xdr:col>
      <xdr:colOff>410306</xdr:colOff>
      <xdr:row>5</xdr:row>
      <xdr:rowOff>40481</xdr:rowOff>
    </xdr:from>
    <xdr:to>
      <xdr:col>11</xdr:col>
      <xdr:colOff>300956</xdr:colOff>
      <xdr:row>18</xdr:row>
      <xdr:rowOff>19181</xdr:rowOff>
    </xdr:to>
    <xdr:graphicFrame macro="">
      <xdr:nvGraphicFramePr>
        <xdr:cNvPr id="12" name="Chart 36">
          <a:extLst>
            <a:ext uri="{FF2B5EF4-FFF2-40B4-BE49-F238E27FC236}">
              <a16:creationId xmlns:a16="http://schemas.microsoft.com/office/drawing/2014/main" id="{9304FC1D-63F6-4C4D-89BA-C15F488F9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435397</xdr:colOff>
      <xdr:row>5</xdr:row>
      <xdr:rowOff>41213</xdr:rowOff>
    </xdr:from>
    <xdr:to>
      <xdr:col>18</xdr:col>
      <xdr:colOff>512065</xdr:colOff>
      <xdr:row>18</xdr:row>
      <xdr:rowOff>19913</xdr:rowOff>
    </xdr:to>
    <xdr:graphicFrame macro="">
      <xdr:nvGraphicFramePr>
        <xdr:cNvPr id="38" name="Chart 37">
          <a:extLst>
            <a:ext uri="{FF2B5EF4-FFF2-40B4-BE49-F238E27FC236}">
              <a16:creationId xmlns:a16="http://schemas.microsoft.com/office/drawing/2014/main" id="{6FDB6FC6-3DDF-421E-B4AE-5AD134719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426792</xdr:colOff>
      <xdr:row>18</xdr:row>
      <xdr:rowOff>108074</xdr:rowOff>
    </xdr:from>
    <xdr:to>
      <xdr:col>18</xdr:col>
      <xdr:colOff>502110</xdr:colOff>
      <xdr:row>32</xdr:row>
      <xdr:rowOff>105074</xdr:rowOff>
    </xdr:to>
    <xdr:graphicFrame macro="">
      <xdr:nvGraphicFramePr>
        <xdr:cNvPr id="39" name="Chart 38">
          <a:extLst>
            <a:ext uri="{FF2B5EF4-FFF2-40B4-BE49-F238E27FC236}">
              <a16:creationId xmlns:a16="http://schemas.microsoft.com/office/drawing/2014/main" id="{3E8D71B1-8B88-42A6-8292-37DD82DBF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57149</xdr:colOff>
      <xdr:row>0</xdr:row>
      <xdr:rowOff>57150</xdr:rowOff>
    </xdr:from>
    <xdr:to>
      <xdr:col>21</xdr:col>
      <xdr:colOff>266700</xdr:colOff>
      <xdr:row>32</xdr:row>
      <xdr:rowOff>180975</xdr:rowOff>
    </xdr:to>
    <xdr:sp macro="" textlink="">
      <xdr:nvSpPr>
        <xdr:cNvPr id="2" name="Rectangle 1">
          <a:extLst>
            <a:ext uri="{FF2B5EF4-FFF2-40B4-BE49-F238E27FC236}">
              <a16:creationId xmlns:a16="http://schemas.microsoft.com/office/drawing/2014/main" id="{DD025C0B-8C9A-4FDE-B562-26826D89484C}"/>
            </a:ext>
          </a:extLst>
        </xdr:cNvPr>
        <xdr:cNvSpPr/>
      </xdr:nvSpPr>
      <xdr:spPr>
        <a:xfrm>
          <a:off x="666749" y="57150"/>
          <a:ext cx="12401551" cy="6219825"/>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104775</xdr:colOff>
      <xdr:row>5</xdr:row>
      <xdr:rowOff>0</xdr:rowOff>
    </xdr:from>
    <xdr:to>
      <xdr:col>3</xdr:col>
      <xdr:colOff>325575</xdr:colOff>
      <xdr:row>11</xdr:row>
      <xdr:rowOff>153000</xdr:rowOff>
    </xdr:to>
    <mc:AlternateContent xmlns:mc="http://schemas.openxmlformats.org/markup-compatibility/2006" xmlns:a14="http://schemas.microsoft.com/office/drawing/2010/main">
      <mc:Choice Requires="a14">
        <xdr:graphicFrame macro="">
          <xdr:nvGraphicFramePr>
            <xdr:cNvPr id="4" name="Category 2">
              <a:extLst>
                <a:ext uri="{FF2B5EF4-FFF2-40B4-BE49-F238E27FC236}">
                  <a16:creationId xmlns:a16="http://schemas.microsoft.com/office/drawing/2014/main" id="{DA64518D-C927-D418-1C58-21600FC4ADDD}"/>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714375" y="952500"/>
              <a:ext cx="1440000" cy="12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104775</xdr:colOff>
      <xdr:row>13</xdr:row>
      <xdr:rowOff>19050</xdr:rowOff>
    </xdr:from>
    <xdr:to>
      <xdr:col>3</xdr:col>
      <xdr:colOff>325575</xdr:colOff>
      <xdr:row>19</xdr:row>
      <xdr:rowOff>172050</xdr:rowOff>
    </xdr:to>
    <mc:AlternateContent xmlns:mc="http://schemas.openxmlformats.org/markup-compatibility/2006" xmlns:a14="http://schemas.microsoft.com/office/drawing/2010/main">
      <mc:Choice Requires="a14">
        <xdr:graphicFrame macro="">
          <xdr:nvGraphicFramePr>
            <xdr:cNvPr id="5" name="Manufacturing Plant 2">
              <a:extLst>
                <a:ext uri="{FF2B5EF4-FFF2-40B4-BE49-F238E27FC236}">
                  <a16:creationId xmlns:a16="http://schemas.microsoft.com/office/drawing/2014/main" id="{F892A840-5E3E-1458-1343-476CBD511BB8}"/>
                </a:ext>
              </a:extLst>
            </xdr:cNvPr>
            <xdr:cNvGraphicFramePr/>
          </xdr:nvGraphicFramePr>
          <xdr:xfrm>
            <a:off x="0" y="0"/>
            <a:ext cx="0" cy="0"/>
          </xdr:xfrm>
          <a:graphic>
            <a:graphicData uri="http://schemas.microsoft.com/office/drawing/2010/slicer">
              <sle:slicer xmlns:sle="http://schemas.microsoft.com/office/drawing/2010/slicer" name="Manufacturing Plant 2"/>
            </a:graphicData>
          </a:graphic>
        </xdr:graphicFrame>
      </mc:Choice>
      <mc:Fallback xmlns="">
        <xdr:sp macro="" textlink="">
          <xdr:nvSpPr>
            <xdr:cNvPr id="0" name=""/>
            <xdr:cNvSpPr>
              <a:spLocks noTextEdit="1"/>
            </xdr:cNvSpPr>
          </xdr:nvSpPr>
          <xdr:spPr>
            <a:xfrm>
              <a:off x="714375" y="2495550"/>
              <a:ext cx="1440000" cy="12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104775</xdr:colOff>
      <xdr:row>21</xdr:row>
      <xdr:rowOff>19049</xdr:rowOff>
    </xdr:from>
    <xdr:to>
      <xdr:col>3</xdr:col>
      <xdr:colOff>325575</xdr:colOff>
      <xdr:row>32</xdr:row>
      <xdr:rowOff>83549</xdr:rowOff>
    </xdr:to>
    <mc:AlternateContent xmlns:mc="http://schemas.openxmlformats.org/markup-compatibility/2006" xmlns:a14="http://schemas.microsoft.com/office/drawing/2010/main">
      <mc:Choice Requires="a14">
        <xdr:graphicFrame macro="">
          <xdr:nvGraphicFramePr>
            <xdr:cNvPr id="6" name="Product 2">
              <a:extLst>
                <a:ext uri="{FF2B5EF4-FFF2-40B4-BE49-F238E27FC236}">
                  <a16:creationId xmlns:a16="http://schemas.microsoft.com/office/drawing/2014/main" id="{0136818B-2EFE-81CD-24BD-14359B9FD3BB}"/>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714375" y="4019549"/>
              <a:ext cx="144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598725</xdr:colOff>
      <xdr:row>21</xdr:row>
      <xdr:rowOff>19500</xdr:rowOff>
    </xdr:from>
    <xdr:to>
      <xdr:col>21</xdr:col>
      <xdr:colOff>209925</xdr:colOff>
      <xdr:row>32</xdr:row>
      <xdr:rowOff>84000</xdr:rowOff>
    </xdr:to>
    <mc:AlternateContent xmlns:mc="http://schemas.openxmlformats.org/markup-compatibility/2006" xmlns:a14="http://schemas.microsoft.com/office/drawing/2010/main">
      <mc:Choice Requires="a14">
        <xdr:graphicFrame macro="">
          <xdr:nvGraphicFramePr>
            <xdr:cNvPr id="8" name="Month 2">
              <a:extLst>
                <a:ext uri="{FF2B5EF4-FFF2-40B4-BE49-F238E27FC236}">
                  <a16:creationId xmlns:a16="http://schemas.microsoft.com/office/drawing/2014/main" id="{02A3EC5D-CD0F-B83E-9A7D-3E64586D531C}"/>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1571525" y="4020000"/>
              <a:ext cx="144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598725</xdr:colOff>
      <xdr:row>13</xdr:row>
      <xdr:rowOff>20700</xdr:rowOff>
    </xdr:from>
    <xdr:to>
      <xdr:col>21</xdr:col>
      <xdr:colOff>209925</xdr:colOff>
      <xdr:row>19</xdr:row>
      <xdr:rowOff>173700</xdr:rowOff>
    </xdr:to>
    <mc:AlternateContent xmlns:mc="http://schemas.openxmlformats.org/markup-compatibility/2006" xmlns:a14="http://schemas.microsoft.com/office/drawing/2010/main">
      <mc:Choice Requires="a14">
        <xdr:graphicFrame macro="">
          <xdr:nvGraphicFramePr>
            <xdr:cNvPr id="9" name="Supervisor 2">
              <a:extLst>
                <a:ext uri="{FF2B5EF4-FFF2-40B4-BE49-F238E27FC236}">
                  <a16:creationId xmlns:a16="http://schemas.microsoft.com/office/drawing/2014/main" id="{F6E06EE3-2A5F-6161-E7DC-3DFC38339229}"/>
                </a:ext>
              </a:extLst>
            </xdr:cNvPr>
            <xdr:cNvGraphicFramePr/>
          </xdr:nvGraphicFramePr>
          <xdr:xfrm>
            <a:off x="0" y="0"/>
            <a:ext cx="0" cy="0"/>
          </xdr:xfrm>
          <a:graphic>
            <a:graphicData uri="http://schemas.microsoft.com/office/drawing/2010/slicer">
              <sle:slicer xmlns:sle="http://schemas.microsoft.com/office/drawing/2010/slicer" name="Supervisor 2"/>
            </a:graphicData>
          </a:graphic>
        </xdr:graphicFrame>
      </mc:Choice>
      <mc:Fallback xmlns="">
        <xdr:sp macro="" textlink="">
          <xdr:nvSpPr>
            <xdr:cNvPr id="0" name=""/>
            <xdr:cNvSpPr>
              <a:spLocks noTextEdit="1"/>
            </xdr:cNvSpPr>
          </xdr:nvSpPr>
          <xdr:spPr>
            <a:xfrm>
              <a:off x="11571525" y="2497200"/>
              <a:ext cx="1440000" cy="12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598725</xdr:colOff>
      <xdr:row>5</xdr:row>
      <xdr:rowOff>0</xdr:rowOff>
    </xdr:from>
    <xdr:to>
      <xdr:col>21</xdr:col>
      <xdr:colOff>209925</xdr:colOff>
      <xdr:row>11</xdr:row>
      <xdr:rowOff>153000</xdr:rowOff>
    </xdr:to>
    <mc:AlternateContent xmlns:mc="http://schemas.openxmlformats.org/markup-compatibility/2006" xmlns:a14="http://schemas.microsoft.com/office/drawing/2010/main">
      <mc:Choice Requires="a14">
        <xdr:graphicFrame macro="">
          <xdr:nvGraphicFramePr>
            <xdr:cNvPr id="10" name="Year 2">
              <a:extLst>
                <a:ext uri="{FF2B5EF4-FFF2-40B4-BE49-F238E27FC236}">
                  <a16:creationId xmlns:a16="http://schemas.microsoft.com/office/drawing/2014/main" id="{4813C0D5-9443-524C-F7E1-B527E7C4158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1571525" y="952500"/>
              <a:ext cx="1440000" cy="12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57358</xdr:colOff>
      <xdr:row>0</xdr:row>
      <xdr:rowOff>57150</xdr:rowOff>
    </xdr:from>
    <xdr:to>
      <xdr:col>21</xdr:col>
      <xdr:colOff>267358</xdr:colOff>
      <xdr:row>4</xdr:row>
      <xdr:rowOff>165735</xdr:rowOff>
    </xdr:to>
    <xdr:sp macro="" textlink="">
      <xdr:nvSpPr>
        <xdr:cNvPr id="31" name="Rectangle: Rounded Corners 37">
          <a:extLst>
            <a:ext uri="{FF2B5EF4-FFF2-40B4-BE49-F238E27FC236}">
              <a16:creationId xmlns:a16="http://schemas.microsoft.com/office/drawing/2014/main" id="{5AEDBF3E-3853-47CE-8FE5-BE8641BA6216}"/>
            </a:ext>
          </a:extLst>
        </xdr:cNvPr>
        <xdr:cNvSpPr/>
      </xdr:nvSpPr>
      <xdr:spPr>
        <a:xfrm>
          <a:off x="666958" y="57150"/>
          <a:ext cx="12402000" cy="87058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ysClr val="windowText" lastClr="000000"/>
              </a:solidFill>
              <a:latin typeface="Arial Rounded MT Bold" panose="020F0704030504030204" pitchFamily="34" charset="0"/>
            </a:rPr>
            <a:t>MANUFACTURING</a:t>
          </a:r>
          <a:r>
            <a:rPr lang="en-IN" sz="2000" baseline="0">
              <a:solidFill>
                <a:sysClr val="windowText" lastClr="000000"/>
              </a:solidFill>
              <a:latin typeface="Arial Rounded MT Bold" panose="020F0704030504030204" pitchFamily="34" charset="0"/>
            </a:rPr>
            <a:t> DASHBOARD</a:t>
          </a:r>
          <a:endParaRPr lang="en-IN" sz="2000">
            <a:solidFill>
              <a:sysClr val="windowText" lastClr="000000"/>
            </a:solidFill>
            <a:latin typeface="Arial Rounded MT Bold" panose="020F0704030504030204" pitchFamily="34" charset="0"/>
          </a:endParaRPr>
        </a:p>
      </xdr:txBody>
    </xdr:sp>
    <xdr:clientData/>
  </xdr:twoCellAnchor>
  <xdr:twoCellAnchor>
    <xdr:from>
      <xdr:col>1</xdr:col>
      <xdr:colOff>190501</xdr:colOff>
      <xdr:row>2</xdr:row>
      <xdr:rowOff>155333</xdr:rowOff>
    </xdr:from>
    <xdr:to>
      <xdr:col>4</xdr:col>
      <xdr:colOff>102579</xdr:colOff>
      <xdr:row>4</xdr:row>
      <xdr:rowOff>155333</xdr:rowOff>
    </xdr:to>
    <xdr:sp macro="" textlink="">
      <xdr:nvSpPr>
        <xdr:cNvPr id="32" name="Rectangle 31">
          <a:hlinkClick xmlns:r="http://schemas.openxmlformats.org/officeDocument/2006/relationships" r:id="rId1"/>
          <a:extLst>
            <a:ext uri="{FF2B5EF4-FFF2-40B4-BE49-F238E27FC236}">
              <a16:creationId xmlns:a16="http://schemas.microsoft.com/office/drawing/2014/main" id="{B36F0777-0B13-49B6-948E-A5C1977D0815}"/>
            </a:ext>
          </a:extLst>
        </xdr:cNvPr>
        <xdr:cNvSpPr/>
      </xdr:nvSpPr>
      <xdr:spPr>
        <a:xfrm>
          <a:off x="805963" y="536333"/>
          <a:ext cx="1758462" cy="3810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bg1"/>
              </a:solidFill>
              <a:effectLst/>
              <a:latin typeface="Arial Rounded MT Bold" panose="020F0704030504030204" pitchFamily="34" charset="0"/>
              <a:ea typeface="+mn-ea"/>
              <a:cs typeface="+mn-cs"/>
            </a:rPr>
            <a:t>Overview</a:t>
          </a:r>
          <a:endParaRPr lang="en-IN" sz="1800">
            <a:solidFill>
              <a:schemeClr val="bg1"/>
            </a:solidFill>
            <a:latin typeface="Arial Rounded MT Bold" panose="020F0704030504030204" pitchFamily="34" charset="0"/>
          </a:endParaRPr>
        </a:p>
      </xdr:txBody>
    </xdr:sp>
    <xdr:clientData/>
  </xdr:twoCellAnchor>
  <xdr:twoCellAnchor>
    <xdr:from>
      <xdr:col>4</xdr:col>
      <xdr:colOff>225670</xdr:colOff>
      <xdr:row>2</xdr:row>
      <xdr:rowOff>146539</xdr:rowOff>
    </xdr:from>
    <xdr:to>
      <xdr:col>8</xdr:col>
      <xdr:colOff>427824</xdr:colOff>
      <xdr:row>4</xdr:row>
      <xdr:rowOff>146539</xdr:rowOff>
    </xdr:to>
    <xdr:sp macro="" textlink="">
      <xdr:nvSpPr>
        <xdr:cNvPr id="33" name="Rectangle 32">
          <a:hlinkClick xmlns:r="http://schemas.openxmlformats.org/officeDocument/2006/relationships" r:id="rId2"/>
          <a:extLst>
            <a:ext uri="{FF2B5EF4-FFF2-40B4-BE49-F238E27FC236}">
              <a16:creationId xmlns:a16="http://schemas.microsoft.com/office/drawing/2014/main" id="{F4A0EA78-F2FD-4295-967E-5623A4DCC874}"/>
            </a:ext>
          </a:extLst>
        </xdr:cNvPr>
        <xdr:cNvSpPr/>
      </xdr:nvSpPr>
      <xdr:spPr>
        <a:xfrm>
          <a:off x="2664070" y="527539"/>
          <a:ext cx="2640554" cy="3810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lt1"/>
              </a:solidFill>
              <a:effectLst/>
              <a:latin typeface="Arial Rounded MT Bold" panose="020F0704030504030204" pitchFamily="34" charset="0"/>
              <a:ea typeface="+mn-ea"/>
              <a:cs typeface="+mn-cs"/>
            </a:rPr>
            <a:t>Production Analysis</a:t>
          </a:r>
          <a:r>
            <a:rPr lang="en-IN" sz="1800">
              <a:effectLst/>
              <a:latin typeface="Arial Rounded MT Bold" panose="020F0704030504030204" pitchFamily="34" charset="0"/>
            </a:rPr>
            <a:t> </a:t>
          </a:r>
          <a:endParaRPr lang="en-IN" sz="1800">
            <a:latin typeface="Arial Rounded MT Bold" panose="020F0704030504030204" pitchFamily="34" charset="0"/>
          </a:endParaRPr>
        </a:p>
      </xdr:txBody>
    </xdr:sp>
    <xdr:clientData/>
  </xdr:twoCellAnchor>
  <xdr:twoCellAnchor>
    <xdr:from>
      <xdr:col>8</xdr:col>
      <xdr:colOff>539272</xdr:colOff>
      <xdr:row>2</xdr:row>
      <xdr:rowOff>181707</xdr:rowOff>
    </xdr:from>
    <xdr:to>
      <xdr:col>12</xdr:col>
      <xdr:colOff>309426</xdr:colOff>
      <xdr:row>4</xdr:row>
      <xdr:rowOff>181707</xdr:rowOff>
    </xdr:to>
    <xdr:sp macro="" textlink="">
      <xdr:nvSpPr>
        <xdr:cNvPr id="34" name="Rectangle 33">
          <a:hlinkClick xmlns:r="http://schemas.openxmlformats.org/officeDocument/2006/relationships" r:id="rId3"/>
          <a:extLst>
            <a:ext uri="{FF2B5EF4-FFF2-40B4-BE49-F238E27FC236}">
              <a16:creationId xmlns:a16="http://schemas.microsoft.com/office/drawing/2014/main" id="{E86D6034-EE74-437D-8B85-E6C61159A525}"/>
            </a:ext>
          </a:extLst>
        </xdr:cNvPr>
        <xdr:cNvSpPr/>
      </xdr:nvSpPr>
      <xdr:spPr>
        <a:xfrm>
          <a:off x="5462964" y="562707"/>
          <a:ext cx="2232000" cy="38100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ysClr val="windowText" lastClr="000000"/>
              </a:solidFill>
              <a:effectLst/>
              <a:latin typeface="Arial Rounded MT Bold" panose="020F0704030504030204" pitchFamily="34" charset="0"/>
              <a:ea typeface="+mn-ea"/>
              <a:cs typeface="+mn-cs"/>
            </a:rPr>
            <a:t>Quality Analysis</a:t>
          </a:r>
          <a:r>
            <a:rPr lang="en-IN" sz="1800">
              <a:solidFill>
                <a:sysClr val="windowText" lastClr="000000"/>
              </a:solidFill>
              <a:effectLst/>
              <a:latin typeface="Arial Rounded MT Bold" panose="020F0704030504030204" pitchFamily="34" charset="0"/>
            </a:rPr>
            <a:t> </a:t>
          </a:r>
          <a:endParaRPr lang="en-IN" sz="1800">
            <a:solidFill>
              <a:sysClr val="windowText" lastClr="000000"/>
            </a:solidFill>
            <a:latin typeface="Arial Rounded MT Bold" panose="020F0704030504030204" pitchFamily="34" charset="0"/>
          </a:endParaRPr>
        </a:p>
      </xdr:txBody>
    </xdr:sp>
    <xdr:clientData/>
  </xdr:twoCellAnchor>
  <xdr:twoCellAnchor>
    <xdr:from>
      <xdr:col>12</xdr:col>
      <xdr:colOff>407387</xdr:colOff>
      <xdr:row>2</xdr:row>
      <xdr:rowOff>152399</xdr:rowOff>
    </xdr:from>
    <xdr:to>
      <xdr:col>16</xdr:col>
      <xdr:colOff>105540</xdr:colOff>
      <xdr:row>4</xdr:row>
      <xdr:rowOff>152399</xdr:rowOff>
    </xdr:to>
    <xdr:sp macro="" textlink="">
      <xdr:nvSpPr>
        <xdr:cNvPr id="35" name="Rectangle 34">
          <a:hlinkClick xmlns:r="http://schemas.openxmlformats.org/officeDocument/2006/relationships" r:id="rId4"/>
          <a:extLst>
            <a:ext uri="{FF2B5EF4-FFF2-40B4-BE49-F238E27FC236}">
              <a16:creationId xmlns:a16="http://schemas.microsoft.com/office/drawing/2014/main" id="{7928622A-2ABF-4085-A841-21085793845A}"/>
            </a:ext>
          </a:extLst>
        </xdr:cNvPr>
        <xdr:cNvSpPr/>
      </xdr:nvSpPr>
      <xdr:spPr>
        <a:xfrm>
          <a:off x="7722587" y="533399"/>
          <a:ext cx="2136553" cy="3810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lt1"/>
              </a:solidFill>
              <a:effectLst/>
              <a:latin typeface="Arial Rounded MT Bold" panose="020F0704030504030204" pitchFamily="34" charset="0"/>
              <a:ea typeface="+mn-ea"/>
              <a:cs typeface="+mn-cs"/>
            </a:rPr>
            <a:t>Cost &amp; Revenue</a:t>
          </a:r>
          <a:endParaRPr lang="en-IN" sz="1800">
            <a:latin typeface="Arial Rounded MT Bold" panose="020F0704030504030204" pitchFamily="34" charset="0"/>
          </a:endParaRPr>
        </a:p>
      </xdr:txBody>
    </xdr:sp>
    <xdr:clientData/>
  </xdr:twoCellAnchor>
  <xdr:twoCellAnchor>
    <xdr:from>
      <xdr:col>16</xdr:col>
      <xdr:colOff>208097</xdr:colOff>
      <xdr:row>2</xdr:row>
      <xdr:rowOff>158259</xdr:rowOff>
    </xdr:from>
    <xdr:to>
      <xdr:col>21</xdr:col>
      <xdr:colOff>118790</xdr:colOff>
      <xdr:row>4</xdr:row>
      <xdr:rowOff>158259</xdr:rowOff>
    </xdr:to>
    <xdr:sp macro="" textlink="">
      <xdr:nvSpPr>
        <xdr:cNvPr id="36" name="Rectangle 35">
          <a:hlinkClick xmlns:r="http://schemas.openxmlformats.org/officeDocument/2006/relationships" r:id="rId5"/>
          <a:extLst>
            <a:ext uri="{FF2B5EF4-FFF2-40B4-BE49-F238E27FC236}">
              <a16:creationId xmlns:a16="http://schemas.microsoft.com/office/drawing/2014/main" id="{BE0557C2-3CF2-4BD0-BC90-D227BC4A08BD}"/>
            </a:ext>
          </a:extLst>
        </xdr:cNvPr>
        <xdr:cNvSpPr/>
      </xdr:nvSpPr>
      <xdr:spPr>
        <a:xfrm>
          <a:off x="9961697" y="539259"/>
          <a:ext cx="2958693" cy="3810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lt1"/>
              </a:solidFill>
              <a:effectLst/>
              <a:latin typeface="Arial Rounded MT Bold" panose="020F0704030504030204" pitchFamily="34" charset="0"/>
              <a:ea typeface="+mn-ea"/>
              <a:cs typeface="+mn-cs"/>
            </a:rPr>
            <a:t>Efficiency &amp; Downtime</a:t>
          </a:r>
          <a:endParaRPr lang="en-IN" sz="1800">
            <a:latin typeface="Arial Rounded MT Bold" panose="020F0704030504030204" pitchFamily="34" charset="0"/>
          </a:endParaRPr>
        </a:p>
      </xdr:txBody>
    </xdr:sp>
    <xdr:clientData/>
  </xdr:twoCellAnchor>
  <xdr:twoCellAnchor>
    <xdr:from>
      <xdr:col>3</xdr:col>
      <xdr:colOff>410307</xdr:colOff>
      <xdr:row>5</xdr:row>
      <xdr:rowOff>47110</xdr:rowOff>
    </xdr:from>
    <xdr:to>
      <xdr:col>11</xdr:col>
      <xdr:colOff>310615</xdr:colOff>
      <xdr:row>18</xdr:row>
      <xdr:rowOff>90610</xdr:rowOff>
    </xdr:to>
    <xdr:graphicFrame macro="">
      <xdr:nvGraphicFramePr>
        <xdr:cNvPr id="37" name="Chart 36">
          <a:extLst>
            <a:ext uri="{FF2B5EF4-FFF2-40B4-BE49-F238E27FC236}">
              <a16:creationId xmlns:a16="http://schemas.microsoft.com/office/drawing/2014/main" id="{A2D37A32-294A-46C7-BBD0-D32931AC6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400650</xdr:colOff>
      <xdr:row>5</xdr:row>
      <xdr:rowOff>47984</xdr:rowOff>
    </xdr:from>
    <xdr:to>
      <xdr:col>18</xdr:col>
      <xdr:colOff>484419</xdr:colOff>
      <xdr:row>18</xdr:row>
      <xdr:rowOff>91484</xdr:rowOff>
    </xdr:to>
    <xdr:graphicFrame macro="">
      <xdr:nvGraphicFramePr>
        <xdr:cNvPr id="38" name="Chart 37">
          <a:extLst>
            <a:ext uri="{FF2B5EF4-FFF2-40B4-BE49-F238E27FC236}">
              <a16:creationId xmlns:a16="http://schemas.microsoft.com/office/drawing/2014/main" id="{BEE7D252-F627-4F63-9F03-C05005B27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404770</xdr:colOff>
      <xdr:row>18</xdr:row>
      <xdr:rowOff>174875</xdr:rowOff>
    </xdr:from>
    <xdr:to>
      <xdr:col>18</xdr:col>
      <xdr:colOff>496847</xdr:colOff>
      <xdr:row>32</xdr:row>
      <xdr:rowOff>99875</xdr:rowOff>
    </xdr:to>
    <xdr:graphicFrame macro="">
      <xdr:nvGraphicFramePr>
        <xdr:cNvPr id="39" name="Chart 38">
          <a:extLst>
            <a:ext uri="{FF2B5EF4-FFF2-40B4-BE49-F238E27FC236}">
              <a16:creationId xmlns:a16="http://schemas.microsoft.com/office/drawing/2014/main" id="{A551653D-83E0-4BE0-BEE1-E7FECFD06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57149</xdr:colOff>
      <xdr:row>0</xdr:row>
      <xdr:rowOff>57150</xdr:rowOff>
    </xdr:from>
    <xdr:to>
      <xdr:col>21</xdr:col>
      <xdr:colOff>266700</xdr:colOff>
      <xdr:row>32</xdr:row>
      <xdr:rowOff>180975</xdr:rowOff>
    </xdr:to>
    <xdr:sp macro="" textlink="">
      <xdr:nvSpPr>
        <xdr:cNvPr id="2" name="Rectangle 1">
          <a:extLst>
            <a:ext uri="{FF2B5EF4-FFF2-40B4-BE49-F238E27FC236}">
              <a16:creationId xmlns:a16="http://schemas.microsoft.com/office/drawing/2014/main" id="{2D84ACBD-6738-487C-B15A-20C462B4F79B}"/>
            </a:ext>
          </a:extLst>
        </xdr:cNvPr>
        <xdr:cNvSpPr/>
      </xdr:nvSpPr>
      <xdr:spPr>
        <a:xfrm>
          <a:off x="666749" y="57150"/>
          <a:ext cx="12401551" cy="6219825"/>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104775</xdr:colOff>
      <xdr:row>5</xdr:row>
      <xdr:rowOff>0</xdr:rowOff>
    </xdr:from>
    <xdr:to>
      <xdr:col>3</xdr:col>
      <xdr:colOff>325575</xdr:colOff>
      <xdr:row>11</xdr:row>
      <xdr:rowOff>153000</xdr:rowOff>
    </xdr:to>
    <mc:AlternateContent xmlns:mc="http://schemas.openxmlformats.org/markup-compatibility/2006" xmlns:a14="http://schemas.microsoft.com/office/drawing/2010/main">
      <mc:Choice Requires="a14">
        <xdr:graphicFrame macro="">
          <xdr:nvGraphicFramePr>
            <xdr:cNvPr id="4" name="Category 3">
              <a:extLst>
                <a:ext uri="{FF2B5EF4-FFF2-40B4-BE49-F238E27FC236}">
                  <a16:creationId xmlns:a16="http://schemas.microsoft.com/office/drawing/2014/main" id="{E2F584C0-2AD5-D030-129C-57043AE6790C}"/>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714375" y="952500"/>
              <a:ext cx="1440000" cy="12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104775</xdr:colOff>
      <xdr:row>13</xdr:row>
      <xdr:rowOff>19050</xdr:rowOff>
    </xdr:from>
    <xdr:to>
      <xdr:col>3</xdr:col>
      <xdr:colOff>325575</xdr:colOff>
      <xdr:row>19</xdr:row>
      <xdr:rowOff>172050</xdr:rowOff>
    </xdr:to>
    <mc:AlternateContent xmlns:mc="http://schemas.openxmlformats.org/markup-compatibility/2006" xmlns:a14="http://schemas.microsoft.com/office/drawing/2010/main">
      <mc:Choice Requires="a14">
        <xdr:graphicFrame macro="">
          <xdr:nvGraphicFramePr>
            <xdr:cNvPr id="5" name="Manufacturing Plant 3">
              <a:extLst>
                <a:ext uri="{FF2B5EF4-FFF2-40B4-BE49-F238E27FC236}">
                  <a16:creationId xmlns:a16="http://schemas.microsoft.com/office/drawing/2014/main" id="{E8C6CA5E-822E-7873-0851-A1424E328108}"/>
                </a:ext>
              </a:extLst>
            </xdr:cNvPr>
            <xdr:cNvGraphicFramePr/>
          </xdr:nvGraphicFramePr>
          <xdr:xfrm>
            <a:off x="0" y="0"/>
            <a:ext cx="0" cy="0"/>
          </xdr:xfrm>
          <a:graphic>
            <a:graphicData uri="http://schemas.microsoft.com/office/drawing/2010/slicer">
              <sle:slicer xmlns:sle="http://schemas.microsoft.com/office/drawing/2010/slicer" name="Manufacturing Plant 3"/>
            </a:graphicData>
          </a:graphic>
        </xdr:graphicFrame>
      </mc:Choice>
      <mc:Fallback xmlns="">
        <xdr:sp macro="" textlink="">
          <xdr:nvSpPr>
            <xdr:cNvPr id="0" name=""/>
            <xdr:cNvSpPr>
              <a:spLocks noTextEdit="1"/>
            </xdr:cNvSpPr>
          </xdr:nvSpPr>
          <xdr:spPr>
            <a:xfrm>
              <a:off x="714375" y="2495550"/>
              <a:ext cx="1440000" cy="12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104775</xdr:colOff>
      <xdr:row>21</xdr:row>
      <xdr:rowOff>19049</xdr:rowOff>
    </xdr:from>
    <xdr:to>
      <xdr:col>3</xdr:col>
      <xdr:colOff>325575</xdr:colOff>
      <xdr:row>32</xdr:row>
      <xdr:rowOff>83549</xdr:rowOff>
    </xdr:to>
    <mc:AlternateContent xmlns:mc="http://schemas.openxmlformats.org/markup-compatibility/2006" xmlns:a14="http://schemas.microsoft.com/office/drawing/2010/main">
      <mc:Choice Requires="a14">
        <xdr:graphicFrame macro="">
          <xdr:nvGraphicFramePr>
            <xdr:cNvPr id="6" name="Product 3">
              <a:extLst>
                <a:ext uri="{FF2B5EF4-FFF2-40B4-BE49-F238E27FC236}">
                  <a16:creationId xmlns:a16="http://schemas.microsoft.com/office/drawing/2014/main" id="{CD5D0CF6-36E1-4028-B257-E58A09547DB8}"/>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714375" y="4019549"/>
              <a:ext cx="144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598725</xdr:colOff>
      <xdr:row>21</xdr:row>
      <xdr:rowOff>19500</xdr:rowOff>
    </xdr:from>
    <xdr:to>
      <xdr:col>21</xdr:col>
      <xdr:colOff>209925</xdr:colOff>
      <xdr:row>32</xdr:row>
      <xdr:rowOff>84000</xdr:rowOff>
    </xdr:to>
    <mc:AlternateContent xmlns:mc="http://schemas.openxmlformats.org/markup-compatibility/2006" xmlns:a14="http://schemas.microsoft.com/office/drawing/2010/main">
      <mc:Choice Requires="a14">
        <xdr:graphicFrame macro="">
          <xdr:nvGraphicFramePr>
            <xdr:cNvPr id="8" name="Month 3">
              <a:extLst>
                <a:ext uri="{FF2B5EF4-FFF2-40B4-BE49-F238E27FC236}">
                  <a16:creationId xmlns:a16="http://schemas.microsoft.com/office/drawing/2014/main" id="{14F38155-097A-7FB1-19BA-AD9A361A8F62}"/>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1571525" y="4020000"/>
              <a:ext cx="144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598725</xdr:colOff>
      <xdr:row>13</xdr:row>
      <xdr:rowOff>20700</xdr:rowOff>
    </xdr:from>
    <xdr:to>
      <xdr:col>21</xdr:col>
      <xdr:colOff>209925</xdr:colOff>
      <xdr:row>19</xdr:row>
      <xdr:rowOff>173700</xdr:rowOff>
    </xdr:to>
    <mc:AlternateContent xmlns:mc="http://schemas.openxmlformats.org/markup-compatibility/2006" xmlns:a14="http://schemas.microsoft.com/office/drawing/2010/main">
      <mc:Choice Requires="a14">
        <xdr:graphicFrame macro="">
          <xdr:nvGraphicFramePr>
            <xdr:cNvPr id="9" name="Supervisor 3">
              <a:extLst>
                <a:ext uri="{FF2B5EF4-FFF2-40B4-BE49-F238E27FC236}">
                  <a16:creationId xmlns:a16="http://schemas.microsoft.com/office/drawing/2014/main" id="{F3A3607F-61CB-1A1D-F494-5E1BFCEB5E6A}"/>
                </a:ext>
              </a:extLst>
            </xdr:cNvPr>
            <xdr:cNvGraphicFramePr/>
          </xdr:nvGraphicFramePr>
          <xdr:xfrm>
            <a:off x="0" y="0"/>
            <a:ext cx="0" cy="0"/>
          </xdr:xfrm>
          <a:graphic>
            <a:graphicData uri="http://schemas.microsoft.com/office/drawing/2010/slicer">
              <sle:slicer xmlns:sle="http://schemas.microsoft.com/office/drawing/2010/slicer" name="Supervisor 3"/>
            </a:graphicData>
          </a:graphic>
        </xdr:graphicFrame>
      </mc:Choice>
      <mc:Fallback xmlns="">
        <xdr:sp macro="" textlink="">
          <xdr:nvSpPr>
            <xdr:cNvPr id="0" name=""/>
            <xdr:cNvSpPr>
              <a:spLocks noTextEdit="1"/>
            </xdr:cNvSpPr>
          </xdr:nvSpPr>
          <xdr:spPr>
            <a:xfrm>
              <a:off x="11571525" y="2497200"/>
              <a:ext cx="1440000" cy="12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598725</xdr:colOff>
      <xdr:row>5</xdr:row>
      <xdr:rowOff>0</xdr:rowOff>
    </xdr:from>
    <xdr:to>
      <xdr:col>21</xdr:col>
      <xdr:colOff>209925</xdr:colOff>
      <xdr:row>11</xdr:row>
      <xdr:rowOff>153000</xdr:rowOff>
    </xdr:to>
    <mc:AlternateContent xmlns:mc="http://schemas.openxmlformats.org/markup-compatibility/2006" xmlns:a14="http://schemas.microsoft.com/office/drawing/2010/main">
      <mc:Choice Requires="a14">
        <xdr:graphicFrame macro="">
          <xdr:nvGraphicFramePr>
            <xdr:cNvPr id="10" name="Year 3">
              <a:extLst>
                <a:ext uri="{FF2B5EF4-FFF2-40B4-BE49-F238E27FC236}">
                  <a16:creationId xmlns:a16="http://schemas.microsoft.com/office/drawing/2014/main" id="{9650378F-A3E7-8939-7FD6-C2D1E914079F}"/>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1571525" y="952500"/>
              <a:ext cx="1440000" cy="12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57358</xdr:colOff>
      <xdr:row>0</xdr:row>
      <xdr:rowOff>57150</xdr:rowOff>
    </xdr:from>
    <xdr:to>
      <xdr:col>21</xdr:col>
      <xdr:colOff>267358</xdr:colOff>
      <xdr:row>4</xdr:row>
      <xdr:rowOff>165735</xdr:rowOff>
    </xdr:to>
    <xdr:sp macro="" textlink="">
      <xdr:nvSpPr>
        <xdr:cNvPr id="31" name="Rectangle: Rounded Corners 37">
          <a:extLst>
            <a:ext uri="{FF2B5EF4-FFF2-40B4-BE49-F238E27FC236}">
              <a16:creationId xmlns:a16="http://schemas.microsoft.com/office/drawing/2014/main" id="{C678A15C-F9B0-4D99-9296-7EC233AD19DA}"/>
            </a:ext>
          </a:extLst>
        </xdr:cNvPr>
        <xdr:cNvSpPr/>
      </xdr:nvSpPr>
      <xdr:spPr>
        <a:xfrm>
          <a:off x="666958" y="57150"/>
          <a:ext cx="12402000" cy="87058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ysClr val="windowText" lastClr="000000"/>
              </a:solidFill>
              <a:latin typeface="Arial Rounded MT Bold" panose="020F0704030504030204" pitchFamily="34" charset="0"/>
            </a:rPr>
            <a:t>MANUFACTURING</a:t>
          </a:r>
          <a:r>
            <a:rPr lang="en-IN" sz="2000" baseline="0">
              <a:solidFill>
                <a:sysClr val="windowText" lastClr="000000"/>
              </a:solidFill>
              <a:latin typeface="Arial Rounded MT Bold" panose="020F0704030504030204" pitchFamily="34" charset="0"/>
            </a:rPr>
            <a:t> DASHBOARD</a:t>
          </a:r>
          <a:endParaRPr lang="en-IN" sz="2000">
            <a:solidFill>
              <a:sysClr val="windowText" lastClr="000000"/>
            </a:solidFill>
            <a:latin typeface="Arial Rounded MT Bold" panose="020F0704030504030204" pitchFamily="34" charset="0"/>
          </a:endParaRPr>
        </a:p>
      </xdr:txBody>
    </xdr:sp>
    <xdr:clientData/>
  </xdr:twoCellAnchor>
  <xdr:twoCellAnchor>
    <xdr:from>
      <xdr:col>1</xdr:col>
      <xdr:colOff>190501</xdr:colOff>
      <xdr:row>2</xdr:row>
      <xdr:rowOff>155333</xdr:rowOff>
    </xdr:from>
    <xdr:to>
      <xdr:col>4</xdr:col>
      <xdr:colOff>102579</xdr:colOff>
      <xdr:row>4</xdr:row>
      <xdr:rowOff>155333</xdr:rowOff>
    </xdr:to>
    <xdr:sp macro="" textlink="">
      <xdr:nvSpPr>
        <xdr:cNvPr id="32" name="Rectangle 31">
          <a:hlinkClick xmlns:r="http://schemas.openxmlformats.org/officeDocument/2006/relationships" r:id="rId1"/>
          <a:extLst>
            <a:ext uri="{FF2B5EF4-FFF2-40B4-BE49-F238E27FC236}">
              <a16:creationId xmlns:a16="http://schemas.microsoft.com/office/drawing/2014/main" id="{9265CDAB-AB40-4938-BAA1-EABDC46973B2}"/>
            </a:ext>
          </a:extLst>
        </xdr:cNvPr>
        <xdr:cNvSpPr/>
      </xdr:nvSpPr>
      <xdr:spPr>
        <a:xfrm>
          <a:off x="805963" y="536333"/>
          <a:ext cx="1758462" cy="3810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bg1"/>
              </a:solidFill>
              <a:effectLst/>
              <a:latin typeface="Arial Rounded MT Bold" panose="020F0704030504030204" pitchFamily="34" charset="0"/>
              <a:ea typeface="+mn-ea"/>
              <a:cs typeface="+mn-cs"/>
            </a:rPr>
            <a:t>Overview</a:t>
          </a:r>
          <a:endParaRPr lang="en-IN" sz="1800">
            <a:solidFill>
              <a:schemeClr val="bg1"/>
            </a:solidFill>
            <a:latin typeface="Arial Rounded MT Bold" panose="020F0704030504030204" pitchFamily="34" charset="0"/>
          </a:endParaRPr>
        </a:p>
      </xdr:txBody>
    </xdr:sp>
    <xdr:clientData/>
  </xdr:twoCellAnchor>
  <xdr:twoCellAnchor>
    <xdr:from>
      <xdr:col>4</xdr:col>
      <xdr:colOff>225670</xdr:colOff>
      <xdr:row>2</xdr:row>
      <xdr:rowOff>146539</xdr:rowOff>
    </xdr:from>
    <xdr:to>
      <xdr:col>8</xdr:col>
      <xdr:colOff>427824</xdr:colOff>
      <xdr:row>4</xdr:row>
      <xdr:rowOff>146539</xdr:rowOff>
    </xdr:to>
    <xdr:sp macro="" textlink="">
      <xdr:nvSpPr>
        <xdr:cNvPr id="33" name="Rectangle 32">
          <a:hlinkClick xmlns:r="http://schemas.openxmlformats.org/officeDocument/2006/relationships" r:id="rId2"/>
          <a:extLst>
            <a:ext uri="{FF2B5EF4-FFF2-40B4-BE49-F238E27FC236}">
              <a16:creationId xmlns:a16="http://schemas.microsoft.com/office/drawing/2014/main" id="{37AB60A2-EB89-468E-8359-F74C4ECE7858}"/>
            </a:ext>
          </a:extLst>
        </xdr:cNvPr>
        <xdr:cNvSpPr/>
      </xdr:nvSpPr>
      <xdr:spPr>
        <a:xfrm>
          <a:off x="2664070" y="527539"/>
          <a:ext cx="2640554" cy="3810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lt1"/>
              </a:solidFill>
              <a:effectLst/>
              <a:latin typeface="Arial Rounded MT Bold" panose="020F0704030504030204" pitchFamily="34" charset="0"/>
              <a:ea typeface="+mn-ea"/>
              <a:cs typeface="+mn-cs"/>
            </a:rPr>
            <a:t>Production Analysis</a:t>
          </a:r>
          <a:r>
            <a:rPr lang="en-IN" sz="1800">
              <a:effectLst/>
              <a:latin typeface="Arial Rounded MT Bold" panose="020F0704030504030204" pitchFamily="34" charset="0"/>
            </a:rPr>
            <a:t> </a:t>
          </a:r>
          <a:endParaRPr lang="en-IN" sz="1800">
            <a:latin typeface="Arial Rounded MT Bold" panose="020F0704030504030204" pitchFamily="34" charset="0"/>
          </a:endParaRPr>
        </a:p>
      </xdr:txBody>
    </xdr:sp>
    <xdr:clientData/>
  </xdr:twoCellAnchor>
  <xdr:twoCellAnchor>
    <xdr:from>
      <xdr:col>8</xdr:col>
      <xdr:colOff>539272</xdr:colOff>
      <xdr:row>2</xdr:row>
      <xdr:rowOff>152399</xdr:rowOff>
    </xdr:from>
    <xdr:to>
      <xdr:col>12</xdr:col>
      <xdr:colOff>309426</xdr:colOff>
      <xdr:row>4</xdr:row>
      <xdr:rowOff>152399</xdr:rowOff>
    </xdr:to>
    <xdr:sp macro="" textlink="">
      <xdr:nvSpPr>
        <xdr:cNvPr id="34" name="Rectangle 33">
          <a:hlinkClick xmlns:r="http://schemas.openxmlformats.org/officeDocument/2006/relationships" r:id="rId3"/>
          <a:extLst>
            <a:ext uri="{FF2B5EF4-FFF2-40B4-BE49-F238E27FC236}">
              <a16:creationId xmlns:a16="http://schemas.microsoft.com/office/drawing/2014/main" id="{731F973B-5E06-4430-88F9-3EBB854A9C11}"/>
            </a:ext>
          </a:extLst>
        </xdr:cNvPr>
        <xdr:cNvSpPr/>
      </xdr:nvSpPr>
      <xdr:spPr>
        <a:xfrm>
          <a:off x="5416072" y="533399"/>
          <a:ext cx="2208554" cy="3810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lt1"/>
              </a:solidFill>
              <a:effectLst/>
              <a:latin typeface="Arial Rounded MT Bold" panose="020F0704030504030204" pitchFamily="34" charset="0"/>
              <a:ea typeface="+mn-ea"/>
              <a:cs typeface="+mn-cs"/>
            </a:rPr>
            <a:t>Quality Analysis</a:t>
          </a:r>
          <a:r>
            <a:rPr lang="en-IN" sz="1800">
              <a:effectLst/>
              <a:latin typeface="Arial Rounded MT Bold" panose="020F0704030504030204" pitchFamily="34" charset="0"/>
            </a:rPr>
            <a:t> </a:t>
          </a:r>
          <a:endParaRPr lang="en-IN" sz="1800">
            <a:latin typeface="Arial Rounded MT Bold" panose="020F0704030504030204" pitchFamily="34" charset="0"/>
          </a:endParaRPr>
        </a:p>
      </xdr:txBody>
    </xdr:sp>
    <xdr:clientData/>
  </xdr:twoCellAnchor>
  <xdr:twoCellAnchor>
    <xdr:from>
      <xdr:col>12</xdr:col>
      <xdr:colOff>407387</xdr:colOff>
      <xdr:row>2</xdr:row>
      <xdr:rowOff>181707</xdr:rowOff>
    </xdr:from>
    <xdr:to>
      <xdr:col>16</xdr:col>
      <xdr:colOff>105540</xdr:colOff>
      <xdr:row>4</xdr:row>
      <xdr:rowOff>181707</xdr:rowOff>
    </xdr:to>
    <xdr:sp macro="" textlink="">
      <xdr:nvSpPr>
        <xdr:cNvPr id="35" name="Rectangle 34">
          <a:hlinkClick xmlns:r="http://schemas.openxmlformats.org/officeDocument/2006/relationships" r:id="rId4"/>
          <a:extLst>
            <a:ext uri="{FF2B5EF4-FFF2-40B4-BE49-F238E27FC236}">
              <a16:creationId xmlns:a16="http://schemas.microsoft.com/office/drawing/2014/main" id="{78257706-8C61-4DAD-9794-2264C691224D}"/>
            </a:ext>
          </a:extLst>
        </xdr:cNvPr>
        <xdr:cNvSpPr/>
      </xdr:nvSpPr>
      <xdr:spPr>
        <a:xfrm>
          <a:off x="7792925" y="562707"/>
          <a:ext cx="2160000" cy="38100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ysClr val="windowText" lastClr="000000"/>
              </a:solidFill>
              <a:effectLst/>
              <a:latin typeface="Arial Rounded MT Bold" panose="020F0704030504030204" pitchFamily="34" charset="0"/>
              <a:ea typeface="+mn-ea"/>
              <a:cs typeface="+mn-cs"/>
            </a:rPr>
            <a:t>Cost &amp; Revenue</a:t>
          </a:r>
          <a:endParaRPr lang="en-IN" sz="1800">
            <a:solidFill>
              <a:sysClr val="windowText" lastClr="000000"/>
            </a:solidFill>
            <a:latin typeface="Arial Rounded MT Bold" panose="020F0704030504030204" pitchFamily="34" charset="0"/>
          </a:endParaRPr>
        </a:p>
      </xdr:txBody>
    </xdr:sp>
    <xdr:clientData/>
  </xdr:twoCellAnchor>
  <xdr:twoCellAnchor>
    <xdr:from>
      <xdr:col>16</xdr:col>
      <xdr:colOff>208097</xdr:colOff>
      <xdr:row>2</xdr:row>
      <xdr:rowOff>158259</xdr:rowOff>
    </xdr:from>
    <xdr:to>
      <xdr:col>21</xdr:col>
      <xdr:colOff>118790</xdr:colOff>
      <xdr:row>4</xdr:row>
      <xdr:rowOff>158259</xdr:rowOff>
    </xdr:to>
    <xdr:sp macro="" textlink="">
      <xdr:nvSpPr>
        <xdr:cNvPr id="36" name="Rectangle 35">
          <a:hlinkClick xmlns:r="http://schemas.openxmlformats.org/officeDocument/2006/relationships" r:id="rId5"/>
          <a:extLst>
            <a:ext uri="{FF2B5EF4-FFF2-40B4-BE49-F238E27FC236}">
              <a16:creationId xmlns:a16="http://schemas.microsoft.com/office/drawing/2014/main" id="{6141BE54-5545-4649-9D47-185017D89278}"/>
            </a:ext>
          </a:extLst>
        </xdr:cNvPr>
        <xdr:cNvSpPr/>
      </xdr:nvSpPr>
      <xdr:spPr>
        <a:xfrm>
          <a:off x="9961697" y="539259"/>
          <a:ext cx="2958693" cy="3810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lt1"/>
              </a:solidFill>
              <a:effectLst/>
              <a:latin typeface="Arial Rounded MT Bold" panose="020F0704030504030204" pitchFamily="34" charset="0"/>
              <a:ea typeface="+mn-ea"/>
              <a:cs typeface="+mn-cs"/>
            </a:rPr>
            <a:t>Efficiency &amp; Downtime</a:t>
          </a:r>
          <a:endParaRPr lang="en-IN" sz="1800">
            <a:latin typeface="Arial Rounded MT Bold" panose="020F0704030504030204" pitchFamily="34" charset="0"/>
          </a:endParaRPr>
        </a:p>
      </xdr:txBody>
    </xdr:sp>
    <xdr:clientData/>
  </xdr:twoCellAnchor>
  <xdr:twoCellAnchor>
    <xdr:from>
      <xdr:col>3</xdr:col>
      <xdr:colOff>454268</xdr:colOff>
      <xdr:row>5</xdr:row>
      <xdr:rowOff>43962</xdr:rowOff>
    </xdr:from>
    <xdr:to>
      <xdr:col>11</xdr:col>
      <xdr:colOff>271776</xdr:colOff>
      <xdr:row>17</xdr:row>
      <xdr:rowOff>177162</xdr:rowOff>
    </xdr:to>
    <xdr:graphicFrame macro="">
      <xdr:nvGraphicFramePr>
        <xdr:cNvPr id="3" name="Chart 36">
          <a:extLst>
            <a:ext uri="{FF2B5EF4-FFF2-40B4-BE49-F238E27FC236}">
              <a16:creationId xmlns:a16="http://schemas.microsoft.com/office/drawing/2014/main" id="{440A8CFF-9310-42BF-8C0B-34CEC5ADA0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429430</xdr:colOff>
      <xdr:row>5</xdr:row>
      <xdr:rowOff>50199</xdr:rowOff>
    </xdr:from>
    <xdr:to>
      <xdr:col>18</xdr:col>
      <xdr:colOff>441199</xdr:colOff>
      <xdr:row>17</xdr:row>
      <xdr:rowOff>183399</xdr:rowOff>
    </xdr:to>
    <xdr:graphicFrame macro="">
      <xdr:nvGraphicFramePr>
        <xdr:cNvPr id="38" name="Chart 37">
          <a:extLst>
            <a:ext uri="{FF2B5EF4-FFF2-40B4-BE49-F238E27FC236}">
              <a16:creationId xmlns:a16="http://schemas.microsoft.com/office/drawing/2014/main" id="{2E340FB1-1197-4061-BC33-0A1E176AB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483577</xdr:colOff>
      <xdr:row>18</xdr:row>
      <xdr:rowOff>161192</xdr:rowOff>
    </xdr:from>
    <xdr:to>
      <xdr:col>18</xdr:col>
      <xdr:colOff>420854</xdr:colOff>
      <xdr:row>32</xdr:row>
      <xdr:rowOff>118592</xdr:rowOff>
    </xdr:to>
    <xdr:graphicFrame macro="">
      <xdr:nvGraphicFramePr>
        <xdr:cNvPr id="39" name="Chart 38">
          <a:extLst>
            <a:ext uri="{FF2B5EF4-FFF2-40B4-BE49-F238E27FC236}">
              <a16:creationId xmlns:a16="http://schemas.microsoft.com/office/drawing/2014/main" id="{AD484104-DC73-4C00-83E4-3DD768CE3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57149</xdr:colOff>
      <xdr:row>0</xdr:row>
      <xdr:rowOff>57150</xdr:rowOff>
    </xdr:from>
    <xdr:to>
      <xdr:col>21</xdr:col>
      <xdr:colOff>266700</xdr:colOff>
      <xdr:row>32</xdr:row>
      <xdr:rowOff>180975</xdr:rowOff>
    </xdr:to>
    <xdr:sp macro="" textlink="">
      <xdr:nvSpPr>
        <xdr:cNvPr id="2" name="Rectangle 1">
          <a:extLst>
            <a:ext uri="{FF2B5EF4-FFF2-40B4-BE49-F238E27FC236}">
              <a16:creationId xmlns:a16="http://schemas.microsoft.com/office/drawing/2014/main" id="{B79819A0-0D68-49B1-93E0-2E163C645730}"/>
            </a:ext>
          </a:extLst>
        </xdr:cNvPr>
        <xdr:cNvSpPr/>
      </xdr:nvSpPr>
      <xdr:spPr>
        <a:xfrm>
          <a:off x="666749" y="57150"/>
          <a:ext cx="12401551" cy="6219825"/>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104775</xdr:colOff>
      <xdr:row>5</xdr:row>
      <xdr:rowOff>0</xdr:rowOff>
    </xdr:from>
    <xdr:to>
      <xdr:col>3</xdr:col>
      <xdr:colOff>325575</xdr:colOff>
      <xdr:row>11</xdr:row>
      <xdr:rowOff>153000</xdr:rowOff>
    </xdr:to>
    <mc:AlternateContent xmlns:mc="http://schemas.openxmlformats.org/markup-compatibility/2006" xmlns:a14="http://schemas.microsoft.com/office/drawing/2010/main">
      <mc:Choice Requires="a14">
        <xdr:graphicFrame macro="">
          <xdr:nvGraphicFramePr>
            <xdr:cNvPr id="4" name="Category 4">
              <a:extLst>
                <a:ext uri="{FF2B5EF4-FFF2-40B4-BE49-F238E27FC236}">
                  <a16:creationId xmlns:a16="http://schemas.microsoft.com/office/drawing/2014/main" id="{292E88B8-26C7-4175-C05F-0E4C08DC4BDF}"/>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714375" y="952500"/>
              <a:ext cx="1440000" cy="12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104775</xdr:colOff>
      <xdr:row>13</xdr:row>
      <xdr:rowOff>19050</xdr:rowOff>
    </xdr:from>
    <xdr:to>
      <xdr:col>3</xdr:col>
      <xdr:colOff>325575</xdr:colOff>
      <xdr:row>19</xdr:row>
      <xdr:rowOff>172050</xdr:rowOff>
    </xdr:to>
    <mc:AlternateContent xmlns:mc="http://schemas.openxmlformats.org/markup-compatibility/2006" xmlns:a14="http://schemas.microsoft.com/office/drawing/2010/main">
      <mc:Choice Requires="a14">
        <xdr:graphicFrame macro="">
          <xdr:nvGraphicFramePr>
            <xdr:cNvPr id="5" name="Manufacturing Plant 4">
              <a:extLst>
                <a:ext uri="{FF2B5EF4-FFF2-40B4-BE49-F238E27FC236}">
                  <a16:creationId xmlns:a16="http://schemas.microsoft.com/office/drawing/2014/main" id="{45D519C3-27F7-64D3-2EF2-015F5AF0E0BA}"/>
                </a:ext>
              </a:extLst>
            </xdr:cNvPr>
            <xdr:cNvGraphicFramePr/>
          </xdr:nvGraphicFramePr>
          <xdr:xfrm>
            <a:off x="0" y="0"/>
            <a:ext cx="0" cy="0"/>
          </xdr:xfrm>
          <a:graphic>
            <a:graphicData uri="http://schemas.microsoft.com/office/drawing/2010/slicer">
              <sle:slicer xmlns:sle="http://schemas.microsoft.com/office/drawing/2010/slicer" name="Manufacturing Plant 4"/>
            </a:graphicData>
          </a:graphic>
        </xdr:graphicFrame>
      </mc:Choice>
      <mc:Fallback xmlns="">
        <xdr:sp macro="" textlink="">
          <xdr:nvSpPr>
            <xdr:cNvPr id="0" name=""/>
            <xdr:cNvSpPr>
              <a:spLocks noTextEdit="1"/>
            </xdr:cNvSpPr>
          </xdr:nvSpPr>
          <xdr:spPr>
            <a:xfrm>
              <a:off x="714375" y="2495550"/>
              <a:ext cx="1440000" cy="12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104775</xdr:colOff>
      <xdr:row>21</xdr:row>
      <xdr:rowOff>19049</xdr:rowOff>
    </xdr:from>
    <xdr:to>
      <xdr:col>3</xdr:col>
      <xdr:colOff>325575</xdr:colOff>
      <xdr:row>32</xdr:row>
      <xdr:rowOff>83549</xdr:rowOff>
    </xdr:to>
    <mc:AlternateContent xmlns:mc="http://schemas.openxmlformats.org/markup-compatibility/2006" xmlns:a14="http://schemas.microsoft.com/office/drawing/2010/main">
      <mc:Choice Requires="a14">
        <xdr:graphicFrame macro="">
          <xdr:nvGraphicFramePr>
            <xdr:cNvPr id="6" name="Product 4">
              <a:extLst>
                <a:ext uri="{FF2B5EF4-FFF2-40B4-BE49-F238E27FC236}">
                  <a16:creationId xmlns:a16="http://schemas.microsoft.com/office/drawing/2014/main" id="{1DE76988-2815-27C9-84CE-B7515B32D56F}"/>
                </a:ext>
              </a:extLst>
            </xdr:cNvPr>
            <xdr:cNvGraphicFramePr/>
          </xdr:nvGraphicFramePr>
          <xdr:xfrm>
            <a:off x="0" y="0"/>
            <a:ext cx="0" cy="0"/>
          </xdr:xfrm>
          <a:graphic>
            <a:graphicData uri="http://schemas.microsoft.com/office/drawing/2010/slicer">
              <sle:slicer xmlns:sle="http://schemas.microsoft.com/office/drawing/2010/slicer" name="Product 4"/>
            </a:graphicData>
          </a:graphic>
        </xdr:graphicFrame>
      </mc:Choice>
      <mc:Fallback xmlns="">
        <xdr:sp macro="" textlink="">
          <xdr:nvSpPr>
            <xdr:cNvPr id="0" name=""/>
            <xdr:cNvSpPr>
              <a:spLocks noTextEdit="1"/>
            </xdr:cNvSpPr>
          </xdr:nvSpPr>
          <xdr:spPr>
            <a:xfrm>
              <a:off x="714375" y="4019549"/>
              <a:ext cx="144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598725</xdr:colOff>
      <xdr:row>21</xdr:row>
      <xdr:rowOff>19500</xdr:rowOff>
    </xdr:from>
    <xdr:to>
      <xdr:col>21</xdr:col>
      <xdr:colOff>209925</xdr:colOff>
      <xdr:row>32</xdr:row>
      <xdr:rowOff>84000</xdr:rowOff>
    </xdr:to>
    <mc:AlternateContent xmlns:mc="http://schemas.openxmlformats.org/markup-compatibility/2006" xmlns:a14="http://schemas.microsoft.com/office/drawing/2010/main">
      <mc:Choice Requires="a14">
        <xdr:graphicFrame macro="">
          <xdr:nvGraphicFramePr>
            <xdr:cNvPr id="8" name="Month 4">
              <a:extLst>
                <a:ext uri="{FF2B5EF4-FFF2-40B4-BE49-F238E27FC236}">
                  <a16:creationId xmlns:a16="http://schemas.microsoft.com/office/drawing/2014/main" id="{3D7667C9-9CDF-6947-F8DE-46CF6C73718E}"/>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11571525" y="4020000"/>
              <a:ext cx="144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598725</xdr:colOff>
      <xdr:row>13</xdr:row>
      <xdr:rowOff>20700</xdr:rowOff>
    </xdr:from>
    <xdr:to>
      <xdr:col>21</xdr:col>
      <xdr:colOff>209925</xdr:colOff>
      <xdr:row>19</xdr:row>
      <xdr:rowOff>173700</xdr:rowOff>
    </xdr:to>
    <mc:AlternateContent xmlns:mc="http://schemas.openxmlformats.org/markup-compatibility/2006" xmlns:a14="http://schemas.microsoft.com/office/drawing/2010/main">
      <mc:Choice Requires="a14">
        <xdr:graphicFrame macro="">
          <xdr:nvGraphicFramePr>
            <xdr:cNvPr id="9" name="Supervisor 4">
              <a:extLst>
                <a:ext uri="{FF2B5EF4-FFF2-40B4-BE49-F238E27FC236}">
                  <a16:creationId xmlns:a16="http://schemas.microsoft.com/office/drawing/2014/main" id="{217AEDBC-413B-333A-0373-00B7977C1BFC}"/>
                </a:ext>
              </a:extLst>
            </xdr:cNvPr>
            <xdr:cNvGraphicFramePr/>
          </xdr:nvGraphicFramePr>
          <xdr:xfrm>
            <a:off x="0" y="0"/>
            <a:ext cx="0" cy="0"/>
          </xdr:xfrm>
          <a:graphic>
            <a:graphicData uri="http://schemas.microsoft.com/office/drawing/2010/slicer">
              <sle:slicer xmlns:sle="http://schemas.microsoft.com/office/drawing/2010/slicer" name="Supervisor 4"/>
            </a:graphicData>
          </a:graphic>
        </xdr:graphicFrame>
      </mc:Choice>
      <mc:Fallback xmlns="">
        <xdr:sp macro="" textlink="">
          <xdr:nvSpPr>
            <xdr:cNvPr id="0" name=""/>
            <xdr:cNvSpPr>
              <a:spLocks noTextEdit="1"/>
            </xdr:cNvSpPr>
          </xdr:nvSpPr>
          <xdr:spPr>
            <a:xfrm>
              <a:off x="11571525" y="2497200"/>
              <a:ext cx="1440000" cy="12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598725</xdr:colOff>
      <xdr:row>5</xdr:row>
      <xdr:rowOff>0</xdr:rowOff>
    </xdr:from>
    <xdr:to>
      <xdr:col>21</xdr:col>
      <xdr:colOff>209925</xdr:colOff>
      <xdr:row>11</xdr:row>
      <xdr:rowOff>153000</xdr:rowOff>
    </xdr:to>
    <mc:AlternateContent xmlns:mc="http://schemas.openxmlformats.org/markup-compatibility/2006" xmlns:a14="http://schemas.microsoft.com/office/drawing/2010/main">
      <mc:Choice Requires="a14">
        <xdr:graphicFrame macro="">
          <xdr:nvGraphicFramePr>
            <xdr:cNvPr id="10" name="Year 4">
              <a:extLst>
                <a:ext uri="{FF2B5EF4-FFF2-40B4-BE49-F238E27FC236}">
                  <a16:creationId xmlns:a16="http://schemas.microsoft.com/office/drawing/2014/main" id="{F4784DC9-218E-255A-BE3E-E9A9634FCC10}"/>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11571525" y="952500"/>
              <a:ext cx="1440000" cy="12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57358</xdr:colOff>
      <xdr:row>0</xdr:row>
      <xdr:rowOff>57150</xdr:rowOff>
    </xdr:from>
    <xdr:to>
      <xdr:col>21</xdr:col>
      <xdr:colOff>267358</xdr:colOff>
      <xdr:row>4</xdr:row>
      <xdr:rowOff>165735</xdr:rowOff>
    </xdr:to>
    <xdr:sp macro="" textlink="">
      <xdr:nvSpPr>
        <xdr:cNvPr id="31" name="Rectangle: Rounded Corners 37">
          <a:extLst>
            <a:ext uri="{FF2B5EF4-FFF2-40B4-BE49-F238E27FC236}">
              <a16:creationId xmlns:a16="http://schemas.microsoft.com/office/drawing/2014/main" id="{F4F34A29-8001-44C9-968F-F0E834881828}"/>
            </a:ext>
          </a:extLst>
        </xdr:cNvPr>
        <xdr:cNvSpPr/>
      </xdr:nvSpPr>
      <xdr:spPr>
        <a:xfrm>
          <a:off x="666958" y="57150"/>
          <a:ext cx="12402000" cy="87058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ysClr val="windowText" lastClr="000000"/>
              </a:solidFill>
              <a:latin typeface="Arial Rounded MT Bold" panose="020F0704030504030204" pitchFamily="34" charset="0"/>
            </a:rPr>
            <a:t>MANUFACTURING</a:t>
          </a:r>
          <a:r>
            <a:rPr lang="en-IN" sz="2000" baseline="0">
              <a:solidFill>
                <a:sysClr val="windowText" lastClr="000000"/>
              </a:solidFill>
              <a:latin typeface="Arial Rounded MT Bold" panose="020F0704030504030204" pitchFamily="34" charset="0"/>
            </a:rPr>
            <a:t> DASHBOARD</a:t>
          </a:r>
          <a:endParaRPr lang="en-IN" sz="2000">
            <a:solidFill>
              <a:sysClr val="windowText" lastClr="000000"/>
            </a:solidFill>
            <a:latin typeface="Arial Rounded MT Bold" panose="020F0704030504030204" pitchFamily="34" charset="0"/>
          </a:endParaRPr>
        </a:p>
      </xdr:txBody>
    </xdr:sp>
    <xdr:clientData/>
  </xdr:twoCellAnchor>
  <xdr:twoCellAnchor>
    <xdr:from>
      <xdr:col>1</xdr:col>
      <xdr:colOff>190501</xdr:colOff>
      <xdr:row>2</xdr:row>
      <xdr:rowOff>155333</xdr:rowOff>
    </xdr:from>
    <xdr:to>
      <xdr:col>4</xdr:col>
      <xdr:colOff>102579</xdr:colOff>
      <xdr:row>4</xdr:row>
      <xdr:rowOff>155333</xdr:rowOff>
    </xdr:to>
    <xdr:sp macro="" textlink="">
      <xdr:nvSpPr>
        <xdr:cNvPr id="32" name="Rectangle 31">
          <a:hlinkClick xmlns:r="http://schemas.openxmlformats.org/officeDocument/2006/relationships" r:id="rId1"/>
          <a:extLst>
            <a:ext uri="{FF2B5EF4-FFF2-40B4-BE49-F238E27FC236}">
              <a16:creationId xmlns:a16="http://schemas.microsoft.com/office/drawing/2014/main" id="{423DD0B2-5ECD-4E3E-A3B1-D27E4E487092}"/>
            </a:ext>
          </a:extLst>
        </xdr:cNvPr>
        <xdr:cNvSpPr/>
      </xdr:nvSpPr>
      <xdr:spPr>
        <a:xfrm>
          <a:off x="805963" y="536333"/>
          <a:ext cx="1758462" cy="3810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bg1"/>
              </a:solidFill>
              <a:effectLst/>
              <a:latin typeface="Arial Rounded MT Bold" panose="020F0704030504030204" pitchFamily="34" charset="0"/>
              <a:ea typeface="+mn-ea"/>
              <a:cs typeface="+mn-cs"/>
            </a:rPr>
            <a:t>Overview</a:t>
          </a:r>
          <a:endParaRPr lang="en-IN" sz="1800">
            <a:solidFill>
              <a:schemeClr val="bg1"/>
            </a:solidFill>
            <a:latin typeface="Arial Rounded MT Bold" panose="020F0704030504030204" pitchFamily="34" charset="0"/>
          </a:endParaRPr>
        </a:p>
      </xdr:txBody>
    </xdr:sp>
    <xdr:clientData/>
  </xdr:twoCellAnchor>
  <xdr:twoCellAnchor>
    <xdr:from>
      <xdr:col>4</xdr:col>
      <xdr:colOff>225670</xdr:colOff>
      <xdr:row>2</xdr:row>
      <xdr:rowOff>146539</xdr:rowOff>
    </xdr:from>
    <xdr:to>
      <xdr:col>8</xdr:col>
      <xdr:colOff>427824</xdr:colOff>
      <xdr:row>4</xdr:row>
      <xdr:rowOff>146539</xdr:rowOff>
    </xdr:to>
    <xdr:sp macro="" textlink="">
      <xdr:nvSpPr>
        <xdr:cNvPr id="33" name="Rectangle 32">
          <a:hlinkClick xmlns:r="http://schemas.openxmlformats.org/officeDocument/2006/relationships" r:id="rId2"/>
          <a:extLst>
            <a:ext uri="{FF2B5EF4-FFF2-40B4-BE49-F238E27FC236}">
              <a16:creationId xmlns:a16="http://schemas.microsoft.com/office/drawing/2014/main" id="{7D064B8B-DE23-4848-9689-8271FDE1A80A}"/>
            </a:ext>
          </a:extLst>
        </xdr:cNvPr>
        <xdr:cNvSpPr/>
      </xdr:nvSpPr>
      <xdr:spPr>
        <a:xfrm>
          <a:off x="2664070" y="527539"/>
          <a:ext cx="2640554" cy="3810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lt1"/>
              </a:solidFill>
              <a:effectLst/>
              <a:latin typeface="Arial Rounded MT Bold" panose="020F0704030504030204" pitchFamily="34" charset="0"/>
              <a:ea typeface="+mn-ea"/>
              <a:cs typeface="+mn-cs"/>
            </a:rPr>
            <a:t>Production Analysis</a:t>
          </a:r>
          <a:r>
            <a:rPr lang="en-IN" sz="1800">
              <a:effectLst/>
              <a:latin typeface="Arial Rounded MT Bold" panose="020F0704030504030204" pitchFamily="34" charset="0"/>
            </a:rPr>
            <a:t> </a:t>
          </a:r>
          <a:endParaRPr lang="en-IN" sz="1800">
            <a:latin typeface="Arial Rounded MT Bold" panose="020F0704030504030204" pitchFamily="34" charset="0"/>
          </a:endParaRPr>
        </a:p>
      </xdr:txBody>
    </xdr:sp>
    <xdr:clientData/>
  </xdr:twoCellAnchor>
  <xdr:twoCellAnchor>
    <xdr:from>
      <xdr:col>8</xdr:col>
      <xdr:colOff>539272</xdr:colOff>
      <xdr:row>2</xdr:row>
      <xdr:rowOff>152399</xdr:rowOff>
    </xdr:from>
    <xdr:to>
      <xdr:col>12</xdr:col>
      <xdr:colOff>309426</xdr:colOff>
      <xdr:row>4</xdr:row>
      <xdr:rowOff>152399</xdr:rowOff>
    </xdr:to>
    <xdr:sp macro="" textlink="">
      <xdr:nvSpPr>
        <xdr:cNvPr id="34" name="Rectangle 33">
          <a:hlinkClick xmlns:r="http://schemas.openxmlformats.org/officeDocument/2006/relationships" r:id="rId3"/>
          <a:extLst>
            <a:ext uri="{FF2B5EF4-FFF2-40B4-BE49-F238E27FC236}">
              <a16:creationId xmlns:a16="http://schemas.microsoft.com/office/drawing/2014/main" id="{B7ADD1AA-BF62-45BB-B5B0-B1E571D4540D}"/>
            </a:ext>
          </a:extLst>
        </xdr:cNvPr>
        <xdr:cNvSpPr/>
      </xdr:nvSpPr>
      <xdr:spPr>
        <a:xfrm>
          <a:off x="5416072" y="533399"/>
          <a:ext cx="2208554" cy="3810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lt1"/>
              </a:solidFill>
              <a:effectLst/>
              <a:latin typeface="Arial Rounded MT Bold" panose="020F0704030504030204" pitchFamily="34" charset="0"/>
              <a:ea typeface="+mn-ea"/>
              <a:cs typeface="+mn-cs"/>
            </a:rPr>
            <a:t>Quality Analysis</a:t>
          </a:r>
          <a:r>
            <a:rPr lang="en-IN" sz="1800">
              <a:effectLst/>
              <a:latin typeface="Arial Rounded MT Bold" panose="020F0704030504030204" pitchFamily="34" charset="0"/>
            </a:rPr>
            <a:t> </a:t>
          </a:r>
          <a:endParaRPr lang="en-IN" sz="1800">
            <a:latin typeface="Arial Rounded MT Bold" panose="020F0704030504030204" pitchFamily="34" charset="0"/>
          </a:endParaRPr>
        </a:p>
      </xdr:txBody>
    </xdr:sp>
    <xdr:clientData/>
  </xdr:twoCellAnchor>
  <xdr:twoCellAnchor>
    <xdr:from>
      <xdr:col>12</xdr:col>
      <xdr:colOff>407387</xdr:colOff>
      <xdr:row>2</xdr:row>
      <xdr:rowOff>152399</xdr:rowOff>
    </xdr:from>
    <xdr:to>
      <xdr:col>16</xdr:col>
      <xdr:colOff>105540</xdr:colOff>
      <xdr:row>4</xdr:row>
      <xdr:rowOff>152399</xdr:rowOff>
    </xdr:to>
    <xdr:sp macro="" textlink="">
      <xdr:nvSpPr>
        <xdr:cNvPr id="35" name="Rectangle 34">
          <a:hlinkClick xmlns:r="http://schemas.openxmlformats.org/officeDocument/2006/relationships" r:id="rId4"/>
          <a:extLst>
            <a:ext uri="{FF2B5EF4-FFF2-40B4-BE49-F238E27FC236}">
              <a16:creationId xmlns:a16="http://schemas.microsoft.com/office/drawing/2014/main" id="{3672BB9D-4E80-47F1-8DF1-AAFEE6CBD75F}"/>
            </a:ext>
          </a:extLst>
        </xdr:cNvPr>
        <xdr:cNvSpPr/>
      </xdr:nvSpPr>
      <xdr:spPr>
        <a:xfrm>
          <a:off x="7722587" y="533399"/>
          <a:ext cx="2136553" cy="3810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lt1"/>
              </a:solidFill>
              <a:effectLst/>
              <a:latin typeface="Arial Rounded MT Bold" panose="020F0704030504030204" pitchFamily="34" charset="0"/>
              <a:ea typeface="+mn-ea"/>
              <a:cs typeface="+mn-cs"/>
            </a:rPr>
            <a:t>Cost &amp; Revenue</a:t>
          </a:r>
          <a:endParaRPr lang="en-IN" sz="1800">
            <a:latin typeface="Arial Rounded MT Bold" panose="020F0704030504030204" pitchFamily="34" charset="0"/>
          </a:endParaRPr>
        </a:p>
      </xdr:txBody>
    </xdr:sp>
    <xdr:clientData/>
  </xdr:twoCellAnchor>
  <xdr:twoCellAnchor>
    <xdr:from>
      <xdr:col>16</xdr:col>
      <xdr:colOff>208097</xdr:colOff>
      <xdr:row>2</xdr:row>
      <xdr:rowOff>172913</xdr:rowOff>
    </xdr:from>
    <xdr:to>
      <xdr:col>21</xdr:col>
      <xdr:colOff>118790</xdr:colOff>
      <xdr:row>4</xdr:row>
      <xdr:rowOff>172913</xdr:rowOff>
    </xdr:to>
    <xdr:sp macro="" textlink="">
      <xdr:nvSpPr>
        <xdr:cNvPr id="36" name="Rectangle 35">
          <a:hlinkClick xmlns:r="http://schemas.openxmlformats.org/officeDocument/2006/relationships" r:id="rId5"/>
          <a:extLst>
            <a:ext uri="{FF2B5EF4-FFF2-40B4-BE49-F238E27FC236}">
              <a16:creationId xmlns:a16="http://schemas.microsoft.com/office/drawing/2014/main" id="{D73BDBF9-B903-405C-8215-01B7E6180F32}"/>
            </a:ext>
          </a:extLst>
        </xdr:cNvPr>
        <xdr:cNvSpPr/>
      </xdr:nvSpPr>
      <xdr:spPr>
        <a:xfrm>
          <a:off x="10055482" y="553913"/>
          <a:ext cx="2988000" cy="38100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ysClr val="windowText" lastClr="000000"/>
              </a:solidFill>
              <a:effectLst/>
              <a:latin typeface="Arial Rounded MT Bold" panose="020F0704030504030204" pitchFamily="34" charset="0"/>
              <a:ea typeface="+mn-ea"/>
              <a:cs typeface="+mn-cs"/>
            </a:rPr>
            <a:t>Efficiency &amp; Downtime</a:t>
          </a:r>
          <a:endParaRPr lang="en-IN" sz="1800">
            <a:solidFill>
              <a:sysClr val="windowText" lastClr="000000"/>
            </a:solidFill>
            <a:latin typeface="Arial Rounded MT Bold" panose="020F0704030504030204" pitchFamily="34" charset="0"/>
          </a:endParaRPr>
        </a:p>
      </xdr:txBody>
    </xdr:sp>
    <xdr:clientData/>
  </xdr:twoCellAnchor>
  <xdr:twoCellAnchor>
    <xdr:from>
      <xdr:col>3</xdr:col>
      <xdr:colOff>454269</xdr:colOff>
      <xdr:row>5</xdr:row>
      <xdr:rowOff>58614</xdr:rowOff>
    </xdr:from>
    <xdr:to>
      <xdr:col>9</xdr:col>
      <xdr:colOff>361500</xdr:colOff>
      <xdr:row>18</xdr:row>
      <xdr:rowOff>55314</xdr:rowOff>
    </xdr:to>
    <xdr:graphicFrame macro="">
      <xdr:nvGraphicFramePr>
        <xdr:cNvPr id="37" name="Chart 36">
          <a:extLst>
            <a:ext uri="{FF2B5EF4-FFF2-40B4-BE49-F238E27FC236}">
              <a16:creationId xmlns:a16="http://schemas.microsoft.com/office/drawing/2014/main" id="{3F733883-20E3-4D0C-BF55-915215541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535946</xdr:colOff>
      <xdr:row>5</xdr:row>
      <xdr:rowOff>57889</xdr:rowOff>
    </xdr:from>
    <xdr:to>
      <xdr:col>18</xdr:col>
      <xdr:colOff>396792</xdr:colOff>
      <xdr:row>18</xdr:row>
      <xdr:rowOff>54589</xdr:rowOff>
    </xdr:to>
    <xdr:graphicFrame macro="">
      <xdr:nvGraphicFramePr>
        <xdr:cNvPr id="38" name="Chart 37">
          <a:extLst>
            <a:ext uri="{FF2B5EF4-FFF2-40B4-BE49-F238E27FC236}">
              <a16:creationId xmlns:a16="http://schemas.microsoft.com/office/drawing/2014/main" id="{F339E8CC-90E3-4E8C-9AF1-BCBC518B9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337473</xdr:colOff>
      <xdr:row>18</xdr:row>
      <xdr:rowOff>116504</xdr:rowOff>
    </xdr:from>
    <xdr:to>
      <xdr:col>14</xdr:col>
      <xdr:colOff>601242</xdr:colOff>
      <xdr:row>32</xdr:row>
      <xdr:rowOff>113504</xdr:rowOff>
    </xdr:to>
    <xdr:graphicFrame macro="">
      <xdr:nvGraphicFramePr>
        <xdr:cNvPr id="39" name="Chart 38">
          <a:extLst>
            <a:ext uri="{FF2B5EF4-FFF2-40B4-BE49-F238E27FC236}">
              <a16:creationId xmlns:a16="http://schemas.microsoft.com/office/drawing/2014/main" id="{374CB4E0-0A4C-4A42-B33F-E991694E4A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73.448632175925" backgroundQuery="1" createdVersion="8" refreshedVersion="8" minRefreshableVersion="3" recordCount="0" supportSubquery="1" supportAdvancedDrill="1" xr:uid="{2DB47573-7EE0-466B-9FE2-64C847EFC25B}">
  <cacheSource type="external" connectionId="1"/>
  <cacheFields count="2">
    <cacheField name="[Measures].[Sum of Quantity Produced]" caption="Sum of Quantity Produced" numFmtId="0" hierarchy="21" level="32767"/>
    <cacheField name="[Manufacturing].[Manufacturing Plant].[Manufacturing Plant]" caption="Manufacturing Plant" numFmtId="0" hierarchy="3" level="1">
      <sharedItems containsSemiMixedTypes="0" containsNonDate="0" containsString="0"/>
    </cacheField>
  </cacheFields>
  <cacheHierarchies count="31">
    <cacheHierarchy uniqueName="[Manufacturing].[Order ID]" caption="Order ID" attribute="1" defaultMemberUniqueName="[Manufacturing].[Order ID].[All]" allUniqueName="[Manufacturing].[Order ID].[All]" dimensionUniqueName="[Manufacturing]" displayFolder="" count="0" memberValueDatatype="130" unbalanced="0"/>
    <cacheHierarchy uniqueName="[Manufacturing].[Product]" caption="Product" attribute="1" defaultMemberUniqueName="[Manufacturing].[Product].[All]" allUniqueName="[Manufacturing].[Product].[All]" dimensionUniqueName="[Manufacturing]" displayFolder="" count="0" memberValueDatatype="130" unbalanced="0"/>
    <cacheHierarchy uniqueName="[Manufacturing].[Category]" caption="Category" attribute="1" defaultMemberUniqueName="[Manufacturing].[Category].[All]" allUniqueName="[Manufacturing].[Category].[All]" dimensionUniqueName="[Manufacturing]" displayFolder="" count="2" memberValueDatatype="130" unbalanced="0"/>
    <cacheHierarchy uniqueName="[Manufacturing].[Manufacturing Plant]" caption="Manufacturing Plant" attribute="1" defaultMemberUniqueName="[Manufacturing].[Manufacturing Plant].[All]" allUniqueName="[Manufacturing].[Manufacturing Plant].[All]" dimensionUniqueName="[Manufacturing]" displayFolder="" count="2" memberValueDatatype="130" unbalanced="0">
      <fieldsUsage count="2">
        <fieldUsage x="-1"/>
        <fieldUsage x="1"/>
      </fieldsUsage>
    </cacheHierarchy>
    <cacheHierarchy uniqueName="[Manufacturing].[Production Date]" caption="Production Date" attribute="1" time="1" defaultMemberUniqueName="[Manufacturing].[Production Date].[All]" allUniqueName="[Manufacturing].[Production Date].[All]" dimensionUniqueName="[Manufacturing]" displayFolder="" count="0" memberValueDatatype="7" unbalanced="0"/>
    <cacheHierarchy uniqueName="[Manufacturing].[Quantity Produced]" caption="Quantity Produced" attribute="1" defaultMemberUniqueName="[Manufacturing].[Quantity Produced].[All]" allUniqueName="[Manufacturing].[Quantity Produced].[All]" dimensionUniqueName="[Manufacturing]" displayFolder="" count="0" memberValueDatatype="20" unbalanced="0"/>
    <cacheHierarchy uniqueName="[Manufacturing].[Defects]" caption="Defects" attribute="1" defaultMemberUniqueName="[Manufacturing].[Defects].[All]" allUniqueName="[Manufacturing].[Defects].[All]" dimensionUniqueName="[Manufacturing]" displayFolder="" count="0" memberValueDatatype="20" unbalanced="0"/>
    <cacheHierarchy uniqueName="[Manufacturing].[Downtime (Hours)]" caption="Downtime (Hours)" attribute="1" defaultMemberUniqueName="[Manufacturing].[Downtime (Hours)].[All]" allUniqueName="[Manufacturing].[Downtime (Hours)].[All]" dimensionUniqueName="[Manufacturing]" displayFolder="" count="0" memberValueDatatype="5" unbalanced="0"/>
    <cacheHierarchy uniqueName="[Manufacturing].[Production Cost ($)]" caption="Production Cost ($)" attribute="1" defaultMemberUniqueName="[Manufacturing].[Production Cost ($)].[All]" allUniqueName="[Manufacturing].[Production Cost ($)].[All]" dimensionUniqueName="[Manufacturing]" displayFolder="" count="0" memberValueDatatype="5" unbalanced="0"/>
    <cacheHierarchy uniqueName="[Manufacturing].[Sales Revenue ($)]" caption="Sales Revenue ($)" attribute="1" defaultMemberUniqueName="[Manufacturing].[Sales Revenue ($)].[All]" allUniqueName="[Manufacturing].[Sales Revenue ($)].[All]" dimensionUniqueName="[Manufacturing]" displayFolder="" count="0" memberValueDatatype="5" unbalanced="0"/>
    <cacheHierarchy uniqueName="[Manufacturing].[Efficiency (%)]" caption="Efficiency (%)" attribute="1" defaultMemberUniqueName="[Manufacturing].[Efficiency (%)].[All]" allUniqueName="[Manufacturing].[Efficiency (%)].[All]" dimensionUniqueName="[Manufacturing]" displayFolder="" count="0" memberValueDatatype="5" unbalanced="0"/>
    <cacheHierarchy uniqueName="[Manufacturing].[Supervisor]" caption="Supervisor" attribute="1" defaultMemberUniqueName="[Manufacturing].[Supervisor].[All]" allUniqueName="[Manufacturing].[Supervisor].[All]" dimensionUniqueName="[Manufacturing]" displayFolder="" count="0" memberValueDatatype="130" unbalanced="0"/>
    <cacheHierarchy uniqueName="[Manufacturing].[Production Date (Year)]" caption="Production Date (Year)" attribute="1" defaultMemberUniqueName="[Manufacturing].[Production Date (Year)].[All]" allUniqueName="[Manufacturing].[Production Date (Year)].[All]" dimensionUniqueName="[Manufacturing]" displayFolder="" count="0" memberValueDatatype="130" unbalanced="0"/>
    <cacheHierarchy uniqueName="[Manufacturing].[Production Date (Quarter)]" caption="Production Date (Quarter)" attribute="1" defaultMemberUniqueName="[Manufacturing].[Production Date (Quarter)].[All]" allUniqueName="[Manufacturing].[Production Date (Quarter)].[All]" dimensionUniqueName="[Manufacturing]" displayFolder="" count="0" memberValueDatatype="130" unbalanced="0"/>
    <cacheHierarchy uniqueName="[Manufacturing].[Production Date (Month)]" caption="Production Date (Month)" attribute="1" defaultMemberUniqueName="[Manufacturing].[Production Date (Month)].[All]" allUniqueName="[Manufacturing].[Production Date (Month)].[All]" dimensionUniqueName="[Manufacturing]" displayFolder="" count="0" memberValueDatatype="130" unbalanced="0"/>
    <cacheHierarchy uniqueName="[Manufacturing].[Month]" caption="Month" attribute="1" defaultMemberUniqueName="[Manufacturing].[Month].[All]" allUniqueName="[Manufacturing].[Month].[All]" dimensionUniqueName="[Manufacturing]" displayFolder="" count="2" memberValueDatatype="20" unbalanced="0"/>
    <cacheHierarchy uniqueName="[Manufacturing].[Year]" caption="Year" attribute="1" defaultMemberUniqueName="[Manufacturing].[Year].[All]" allUniqueName="[Manufacturing].[Year].[All]" dimensionUniqueName="[Manufacturing]" displayFolder="" count="0" memberValueDatatype="20" unbalanced="0"/>
    <cacheHierarchy uniqueName="[Manufacturing].[Defect Range]" caption="Defect Range" attribute="1" defaultMemberUniqueName="[Manufacturing].[Defect Range].[All]" allUniqueName="[Manufacturing].[Defect Range].[All]" dimensionUniqueName="[Manufacturing]" displayFolder="" count="0" memberValueDatatype="130" unbalanced="0"/>
    <cacheHierarchy uniqueName="[Manufacturing].[Production Date (Month Index)]" caption="Production Date (Month Index)" attribute="1" defaultMemberUniqueName="[Manufacturing].[Production Date (Month Index)].[All]" allUniqueName="[Manufacturing].[Production Date (Month Index)].[All]" dimensionUniqueName="[Manufacturing]" displayFolder="" count="0" memberValueDatatype="20" unbalanced="0" hidden="1"/>
    <cacheHierarchy uniqueName="[Measures].[__XL_Count Manufacturing]" caption="__XL_Count Manufacturing" measure="1" displayFolder="" measureGroup="Manufacturing" count="0" hidden="1"/>
    <cacheHierarchy uniqueName="[Measures].[__No measures defined]" caption="__No measures defined" measure="1" displayFolder="" count="0" hidden="1"/>
    <cacheHierarchy uniqueName="[Measures].[Sum of Quantity Produced]" caption="Sum of Quantity Produced" measure="1" displayFolder="" measureGroup="Manufacturing"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Defects]" caption="Sum of Defects" measure="1" displayFolder="" measureGroup="Manufacturing" count="0" hidden="1">
      <extLst>
        <ext xmlns:x15="http://schemas.microsoft.com/office/spreadsheetml/2010/11/main" uri="{B97F6D7D-B522-45F9-BDA1-12C45D357490}">
          <x15:cacheHierarchy aggregatedColumn="6"/>
        </ext>
      </extLst>
    </cacheHierarchy>
    <cacheHierarchy uniqueName="[Measures].[Sum of Production Cost ($)]" caption="Sum of Production Cost ($)" measure="1" displayFolder="" measureGroup="Manufacturing" count="0" hidden="1">
      <extLst>
        <ext xmlns:x15="http://schemas.microsoft.com/office/spreadsheetml/2010/11/main" uri="{B97F6D7D-B522-45F9-BDA1-12C45D357490}">
          <x15:cacheHierarchy aggregatedColumn="8"/>
        </ext>
      </extLst>
    </cacheHierarchy>
    <cacheHierarchy uniqueName="[Measures].[Sum of Sales Revenue ($)]" caption="Sum of Sales Revenue ($)" measure="1" displayFolder="" measureGroup="Manufacturing" count="0" hidden="1">
      <extLst>
        <ext xmlns:x15="http://schemas.microsoft.com/office/spreadsheetml/2010/11/main" uri="{B97F6D7D-B522-45F9-BDA1-12C45D357490}">
          <x15:cacheHierarchy aggregatedColumn="9"/>
        </ext>
      </extLst>
    </cacheHierarchy>
    <cacheHierarchy uniqueName="[Measures].[Sum of Efficiency (%)]" caption="Sum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Average of Efficiency (%)]" caption="Average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Manufacturing" count="0" hidden="1">
      <extLst>
        <ext xmlns:x15="http://schemas.microsoft.com/office/spreadsheetml/2010/11/main" uri="{B97F6D7D-B522-45F9-BDA1-12C45D357490}">
          <x15:cacheHierarchy aggregatedColumn="2"/>
        </ext>
      </extLst>
    </cacheHierarchy>
    <cacheHierarchy uniqueName="[Measures].[Count of Production Date]" caption="Count of Production Date" measure="1" displayFolder="" measureGroup="Manufacturing" count="0" hidden="1">
      <extLst>
        <ext xmlns:x15="http://schemas.microsoft.com/office/spreadsheetml/2010/11/main" uri="{B97F6D7D-B522-45F9-BDA1-12C45D357490}">
          <x15:cacheHierarchy aggregatedColumn="4"/>
        </ext>
      </extLst>
    </cacheHierarchy>
    <cacheHierarchy uniqueName="[Measures].[Count of Defect Range]" caption="Count of Defect Range" measure="1" displayFolder="" measureGroup="Manufacturing" count="0" hidden="1">
      <extLst>
        <ext xmlns:x15="http://schemas.microsoft.com/office/spreadsheetml/2010/11/main" uri="{B97F6D7D-B522-45F9-BDA1-12C45D357490}">
          <x15:cacheHierarchy aggregatedColumn="17"/>
        </ext>
      </extLst>
    </cacheHierarchy>
    <cacheHierarchy uniqueName="[Measures].[Sum of Downtime (Hours)]" caption="Sum of Downtime (Hours)" measure="1" displayFolder="" measureGroup="Manufacturing" count="0" hidden="1">
      <extLst>
        <ext xmlns:x15="http://schemas.microsoft.com/office/spreadsheetml/2010/11/main" uri="{B97F6D7D-B522-45F9-BDA1-12C45D357490}">
          <x15:cacheHierarchy aggregatedColumn="7"/>
        </ext>
      </extLst>
    </cacheHierarchy>
  </cacheHierarchies>
  <kpis count="0"/>
  <dimensions count="2">
    <dimension name="Manufacturing" uniqueName="[Manufacturing]" caption="Manufacturing"/>
    <dimension measure="1" name="Measures" uniqueName="[Measures]" caption="Measures"/>
  </dimensions>
  <measureGroups count="1">
    <measureGroup name="Manufacturing" caption="Manufactur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73.448633912034" backgroundQuery="1" createdVersion="8" refreshedVersion="8" minRefreshableVersion="3" recordCount="0" supportSubquery="1" supportAdvancedDrill="1" xr:uid="{074AB36E-4E4F-4A7B-B521-ECB22CF5A084}">
  <cacheSource type="external" connectionId="1"/>
  <cacheFields count="2">
    <cacheField name="[Measures].[Average of Efficiency (%)]" caption="Average of Efficiency (%)" numFmtId="0" hierarchy="26" level="32767"/>
    <cacheField name="[Manufacturing].[Manufacturing Plant].[Manufacturing Plant]" caption="Manufacturing Plant" numFmtId="0" hierarchy="3" level="1">
      <sharedItems containsSemiMixedTypes="0" containsNonDate="0" containsString="0"/>
    </cacheField>
  </cacheFields>
  <cacheHierarchies count="31">
    <cacheHierarchy uniqueName="[Manufacturing].[Order ID]" caption="Order ID" attribute="1" defaultMemberUniqueName="[Manufacturing].[Order ID].[All]" allUniqueName="[Manufacturing].[Order ID].[All]" dimensionUniqueName="[Manufacturing]" displayFolder="" count="0" memberValueDatatype="130" unbalanced="0"/>
    <cacheHierarchy uniqueName="[Manufacturing].[Product]" caption="Product" attribute="1" defaultMemberUniqueName="[Manufacturing].[Product].[All]" allUniqueName="[Manufacturing].[Product].[All]" dimensionUniqueName="[Manufacturing]" displayFolder="" count="0" memberValueDatatype="130" unbalanced="0"/>
    <cacheHierarchy uniqueName="[Manufacturing].[Category]" caption="Category" attribute="1" defaultMemberUniqueName="[Manufacturing].[Category].[All]" allUniqueName="[Manufacturing].[Category].[All]" dimensionUniqueName="[Manufacturing]" displayFolder="" count="2" memberValueDatatype="130" unbalanced="0"/>
    <cacheHierarchy uniqueName="[Manufacturing].[Manufacturing Plant]" caption="Manufacturing Plant" attribute="1" defaultMemberUniqueName="[Manufacturing].[Manufacturing Plant].[All]" allUniqueName="[Manufacturing].[Manufacturing Plant].[All]" dimensionUniqueName="[Manufacturing]" displayFolder="" count="2" memberValueDatatype="130" unbalanced="0">
      <fieldsUsage count="2">
        <fieldUsage x="-1"/>
        <fieldUsage x="1"/>
      </fieldsUsage>
    </cacheHierarchy>
    <cacheHierarchy uniqueName="[Manufacturing].[Production Date]" caption="Production Date" attribute="1" time="1" defaultMemberUniqueName="[Manufacturing].[Production Date].[All]" allUniqueName="[Manufacturing].[Production Date].[All]" dimensionUniqueName="[Manufacturing]" displayFolder="" count="0" memberValueDatatype="7" unbalanced="0"/>
    <cacheHierarchy uniqueName="[Manufacturing].[Quantity Produced]" caption="Quantity Produced" attribute="1" defaultMemberUniqueName="[Manufacturing].[Quantity Produced].[All]" allUniqueName="[Manufacturing].[Quantity Produced].[All]" dimensionUniqueName="[Manufacturing]" displayFolder="" count="0" memberValueDatatype="20" unbalanced="0"/>
    <cacheHierarchy uniqueName="[Manufacturing].[Defects]" caption="Defects" attribute="1" defaultMemberUniqueName="[Manufacturing].[Defects].[All]" allUniqueName="[Manufacturing].[Defects].[All]" dimensionUniqueName="[Manufacturing]" displayFolder="" count="0" memberValueDatatype="20" unbalanced="0"/>
    <cacheHierarchy uniqueName="[Manufacturing].[Downtime (Hours)]" caption="Downtime (Hours)" attribute="1" defaultMemberUniqueName="[Manufacturing].[Downtime (Hours)].[All]" allUniqueName="[Manufacturing].[Downtime (Hours)].[All]" dimensionUniqueName="[Manufacturing]" displayFolder="" count="0" memberValueDatatype="5" unbalanced="0"/>
    <cacheHierarchy uniqueName="[Manufacturing].[Production Cost ($)]" caption="Production Cost ($)" attribute="1" defaultMemberUniqueName="[Manufacturing].[Production Cost ($)].[All]" allUniqueName="[Manufacturing].[Production Cost ($)].[All]" dimensionUniqueName="[Manufacturing]" displayFolder="" count="0" memberValueDatatype="5" unbalanced="0"/>
    <cacheHierarchy uniqueName="[Manufacturing].[Sales Revenue ($)]" caption="Sales Revenue ($)" attribute="1" defaultMemberUniqueName="[Manufacturing].[Sales Revenue ($)].[All]" allUniqueName="[Manufacturing].[Sales Revenue ($)].[All]" dimensionUniqueName="[Manufacturing]" displayFolder="" count="0" memberValueDatatype="5" unbalanced="0"/>
    <cacheHierarchy uniqueName="[Manufacturing].[Efficiency (%)]" caption="Efficiency (%)" attribute="1" defaultMemberUniqueName="[Manufacturing].[Efficiency (%)].[All]" allUniqueName="[Manufacturing].[Efficiency (%)].[All]" dimensionUniqueName="[Manufacturing]" displayFolder="" count="0" memberValueDatatype="5" unbalanced="0"/>
    <cacheHierarchy uniqueName="[Manufacturing].[Supervisor]" caption="Supervisor" attribute="1" defaultMemberUniqueName="[Manufacturing].[Supervisor].[All]" allUniqueName="[Manufacturing].[Supervisor].[All]" dimensionUniqueName="[Manufacturing]" displayFolder="" count="0" memberValueDatatype="130" unbalanced="0"/>
    <cacheHierarchy uniqueName="[Manufacturing].[Production Date (Year)]" caption="Production Date (Year)" attribute="1" defaultMemberUniqueName="[Manufacturing].[Production Date (Year)].[All]" allUniqueName="[Manufacturing].[Production Date (Year)].[All]" dimensionUniqueName="[Manufacturing]" displayFolder="" count="0" memberValueDatatype="130" unbalanced="0"/>
    <cacheHierarchy uniqueName="[Manufacturing].[Production Date (Quarter)]" caption="Production Date (Quarter)" attribute="1" defaultMemberUniqueName="[Manufacturing].[Production Date (Quarter)].[All]" allUniqueName="[Manufacturing].[Production Date (Quarter)].[All]" dimensionUniqueName="[Manufacturing]" displayFolder="" count="0" memberValueDatatype="130" unbalanced="0"/>
    <cacheHierarchy uniqueName="[Manufacturing].[Production Date (Month)]" caption="Production Date (Month)" attribute="1" defaultMemberUniqueName="[Manufacturing].[Production Date (Month)].[All]" allUniqueName="[Manufacturing].[Production Date (Month)].[All]" dimensionUniqueName="[Manufacturing]" displayFolder="" count="0" memberValueDatatype="130" unbalanced="0"/>
    <cacheHierarchy uniqueName="[Manufacturing].[Month]" caption="Month" attribute="1" defaultMemberUniqueName="[Manufacturing].[Month].[All]" allUniqueName="[Manufacturing].[Month].[All]" dimensionUniqueName="[Manufacturing]" displayFolder="" count="2" memberValueDatatype="20" unbalanced="0"/>
    <cacheHierarchy uniqueName="[Manufacturing].[Year]" caption="Year" attribute="1" defaultMemberUniqueName="[Manufacturing].[Year].[All]" allUniqueName="[Manufacturing].[Year].[All]" dimensionUniqueName="[Manufacturing]" displayFolder="" count="0" memberValueDatatype="20" unbalanced="0"/>
    <cacheHierarchy uniqueName="[Manufacturing].[Defect Range]" caption="Defect Range" attribute="1" defaultMemberUniqueName="[Manufacturing].[Defect Range].[All]" allUniqueName="[Manufacturing].[Defect Range].[All]" dimensionUniqueName="[Manufacturing]" displayFolder="" count="0" memberValueDatatype="130" unbalanced="0"/>
    <cacheHierarchy uniqueName="[Manufacturing].[Production Date (Month Index)]" caption="Production Date (Month Index)" attribute="1" defaultMemberUniqueName="[Manufacturing].[Production Date (Month Index)].[All]" allUniqueName="[Manufacturing].[Production Date (Month Index)].[All]" dimensionUniqueName="[Manufacturing]" displayFolder="" count="0" memberValueDatatype="20" unbalanced="0" hidden="1"/>
    <cacheHierarchy uniqueName="[Measures].[__XL_Count Manufacturing]" caption="__XL_Count Manufacturing" measure="1" displayFolder="" measureGroup="Manufacturing" count="0" hidden="1"/>
    <cacheHierarchy uniqueName="[Measures].[__No measures defined]" caption="__No measures defined" measure="1" displayFolder="" count="0" hidden="1"/>
    <cacheHierarchy uniqueName="[Measures].[Sum of Quantity Produced]" caption="Sum of Quantity Produced" measure="1" displayFolder="" measureGroup="Manufacturing" count="0" hidden="1">
      <extLst>
        <ext xmlns:x15="http://schemas.microsoft.com/office/spreadsheetml/2010/11/main" uri="{B97F6D7D-B522-45F9-BDA1-12C45D357490}">
          <x15:cacheHierarchy aggregatedColumn="5"/>
        </ext>
      </extLst>
    </cacheHierarchy>
    <cacheHierarchy uniqueName="[Measures].[Sum of Defects]" caption="Sum of Defects" measure="1" displayFolder="" measureGroup="Manufacturing" count="0" hidden="1">
      <extLst>
        <ext xmlns:x15="http://schemas.microsoft.com/office/spreadsheetml/2010/11/main" uri="{B97F6D7D-B522-45F9-BDA1-12C45D357490}">
          <x15:cacheHierarchy aggregatedColumn="6"/>
        </ext>
      </extLst>
    </cacheHierarchy>
    <cacheHierarchy uniqueName="[Measures].[Sum of Production Cost ($)]" caption="Sum of Production Cost ($)" measure="1" displayFolder="" measureGroup="Manufacturing" count="0" hidden="1">
      <extLst>
        <ext xmlns:x15="http://schemas.microsoft.com/office/spreadsheetml/2010/11/main" uri="{B97F6D7D-B522-45F9-BDA1-12C45D357490}">
          <x15:cacheHierarchy aggregatedColumn="8"/>
        </ext>
      </extLst>
    </cacheHierarchy>
    <cacheHierarchy uniqueName="[Measures].[Sum of Sales Revenue ($)]" caption="Sum of Sales Revenue ($)" measure="1" displayFolder="" measureGroup="Manufacturing" count="0" hidden="1">
      <extLst>
        <ext xmlns:x15="http://schemas.microsoft.com/office/spreadsheetml/2010/11/main" uri="{B97F6D7D-B522-45F9-BDA1-12C45D357490}">
          <x15:cacheHierarchy aggregatedColumn="9"/>
        </ext>
      </extLst>
    </cacheHierarchy>
    <cacheHierarchy uniqueName="[Measures].[Sum of Efficiency (%)]" caption="Sum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Average of Efficiency (%)]" caption="Average of Efficiency (%)" measure="1" displayFolder="" measureGroup="Manufacturing"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Manufacturing" count="0" hidden="1">
      <extLst>
        <ext xmlns:x15="http://schemas.microsoft.com/office/spreadsheetml/2010/11/main" uri="{B97F6D7D-B522-45F9-BDA1-12C45D357490}">
          <x15:cacheHierarchy aggregatedColumn="2"/>
        </ext>
      </extLst>
    </cacheHierarchy>
    <cacheHierarchy uniqueName="[Measures].[Count of Production Date]" caption="Count of Production Date" measure="1" displayFolder="" measureGroup="Manufacturing" count="0" hidden="1">
      <extLst>
        <ext xmlns:x15="http://schemas.microsoft.com/office/spreadsheetml/2010/11/main" uri="{B97F6D7D-B522-45F9-BDA1-12C45D357490}">
          <x15:cacheHierarchy aggregatedColumn="4"/>
        </ext>
      </extLst>
    </cacheHierarchy>
    <cacheHierarchy uniqueName="[Measures].[Count of Defect Range]" caption="Count of Defect Range" measure="1" displayFolder="" measureGroup="Manufacturing" count="0" hidden="1">
      <extLst>
        <ext xmlns:x15="http://schemas.microsoft.com/office/spreadsheetml/2010/11/main" uri="{B97F6D7D-B522-45F9-BDA1-12C45D357490}">
          <x15:cacheHierarchy aggregatedColumn="17"/>
        </ext>
      </extLst>
    </cacheHierarchy>
    <cacheHierarchy uniqueName="[Measures].[Sum of Downtime (Hours)]" caption="Sum of Downtime (Hours)" measure="1" displayFolder="" measureGroup="Manufacturing" count="0" hidden="1">
      <extLst>
        <ext xmlns:x15="http://schemas.microsoft.com/office/spreadsheetml/2010/11/main" uri="{B97F6D7D-B522-45F9-BDA1-12C45D357490}">
          <x15:cacheHierarchy aggregatedColumn="7"/>
        </ext>
      </extLst>
    </cacheHierarchy>
  </cacheHierarchies>
  <kpis count="0"/>
  <dimensions count="2">
    <dimension name="Manufacturing" uniqueName="[Manufacturing]" caption="Manufacturing"/>
    <dimension measure="1" name="Measures" uniqueName="[Measures]" caption="Measures"/>
  </dimensions>
  <measureGroups count="1">
    <measureGroup name="Manufacturing" caption="Manufactur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73.448635763889" backgroundQuery="1" createdVersion="8" refreshedVersion="8" minRefreshableVersion="3" recordCount="0" supportSubquery="1" supportAdvancedDrill="1" xr:uid="{28094330-6D7C-4041-88A2-A72A9BE2462C}">
  <cacheSource type="external" connectionId="1"/>
  <cacheFields count="2">
    <cacheField name="[Measures].[Sum of Sales Revenue ($)]" caption="Sum of Sales Revenue ($)" numFmtId="0" hierarchy="24" level="32767"/>
    <cacheField name="[Manufacturing].[Manufacturing Plant].[Manufacturing Plant]" caption="Manufacturing Plant" numFmtId="0" hierarchy="3" level="1">
      <sharedItems containsSemiMixedTypes="0" containsNonDate="0" containsString="0"/>
    </cacheField>
  </cacheFields>
  <cacheHierarchies count="31">
    <cacheHierarchy uniqueName="[Manufacturing].[Order ID]" caption="Order ID" attribute="1" defaultMemberUniqueName="[Manufacturing].[Order ID].[All]" allUniqueName="[Manufacturing].[Order ID].[All]" dimensionUniqueName="[Manufacturing]" displayFolder="" count="0" memberValueDatatype="130" unbalanced="0"/>
    <cacheHierarchy uniqueName="[Manufacturing].[Product]" caption="Product" attribute="1" defaultMemberUniqueName="[Manufacturing].[Product].[All]" allUniqueName="[Manufacturing].[Product].[All]" dimensionUniqueName="[Manufacturing]" displayFolder="" count="0" memberValueDatatype="130" unbalanced="0"/>
    <cacheHierarchy uniqueName="[Manufacturing].[Category]" caption="Category" attribute="1" defaultMemberUniqueName="[Manufacturing].[Category].[All]" allUniqueName="[Manufacturing].[Category].[All]" dimensionUniqueName="[Manufacturing]" displayFolder="" count="2" memberValueDatatype="130" unbalanced="0"/>
    <cacheHierarchy uniqueName="[Manufacturing].[Manufacturing Plant]" caption="Manufacturing Plant" attribute="1" defaultMemberUniqueName="[Manufacturing].[Manufacturing Plant].[All]" allUniqueName="[Manufacturing].[Manufacturing Plant].[All]" dimensionUniqueName="[Manufacturing]" displayFolder="" count="2" memberValueDatatype="130" unbalanced="0">
      <fieldsUsage count="2">
        <fieldUsage x="-1"/>
        <fieldUsage x="1"/>
      </fieldsUsage>
    </cacheHierarchy>
    <cacheHierarchy uniqueName="[Manufacturing].[Production Date]" caption="Production Date" attribute="1" time="1" defaultMemberUniqueName="[Manufacturing].[Production Date].[All]" allUniqueName="[Manufacturing].[Production Date].[All]" dimensionUniqueName="[Manufacturing]" displayFolder="" count="0" memberValueDatatype="7" unbalanced="0"/>
    <cacheHierarchy uniqueName="[Manufacturing].[Quantity Produced]" caption="Quantity Produced" attribute="1" defaultMemberUniqueName="[Manufacturing].[Quantity Produced].[All]" allUniqueName="[Manufacturing].[Quantity Produced].[All]" dimensionUniqueName="[Manufacturing]" displayFolder="" count="0" memberValueDatatype="20" unbalanced="0"/>
    <cacheHierarchy uniqueName="[Manufacturing].[Defects]" caption="Defects" attribute="1" defaultMemberUniqueName="[Manufacturing].[Defects].[All]" allUniqueName="[Manufacturing].[Defects].[All]" dimensionUniqueName="[Manufacturing]" displayFolder="" count="0" memberValueDatatype="20" unbalanced="0"/>
    <cacheHierarchy uniqueName="[Manufacturing].[Downtime (Hours)]" caption="Downtime (Hours)" attribute="1" defaultMemberUniqueName="[Manufacturing].[Downtime (Hours)].[All]" allUniqueName="[Manufacturing].[Downtime (Hours)].[All]" dimensionUniqueName="[Manufacturing]" displayFolder="" count="0" memberValueDatatype="5" unbalanced="0"/>
    <cacheHierarchy uniqueName="[Manufacturing].[Production Cost ($)]" caption="Production Cost ($)" attribute="1" defaultMemberUniqueName="[Manufacturing].[Production Cost ($)].[All]" allUniqueName="[Manufacturing].[Production Cost ($)].[All]" dimensionUniqueName="[Manufacturing]" displayFolder="" count="0" memberValueDatatype="5" unbalanced="0"/>
    <cacheHierarchy uniqueName="[Manufacturing].[Sales Revenue ($)]" caption="Sales Revenue ($)" attribute="1" defaultMemberUniqueName="[Manufacturing].[Sales Revenue ($)].[All]" allUniqueName="[Manufacturing].[Sales Revenue ($)].[All]" dimensionUniqueName="[Manufacturing]" displayFolder="" count="0" memberValueDatatype="5" unbalanced="0"/>
    <cacheHierarchy uniqueName="[Manufacturing].[Efficiency (%)]" caption="Efficiency (%)" attribute="1" defaultMemberUniqueName="[Manufacturing].[Efficiency (%)].[All]" allUniqueName="[Manufacturing].[Efficiency (%)].[All]" dimensionUniqueName="[Manufacturing]" displayFolder="" count="0" memberValueDatatype="5" unbalanced="0"/>
    <cacheHierarchy uniqueName="[Manufacturing].[Supervisor]" caption="Supervisor" attribute="1" defaultMemberUniqueName="[Manufacturing].[Supervisor].[All]" allUniqueName="[Manufacturing].[Supervisor].[All]" dimensionUniqueName="[Manufacturing]" displayFolder="" count="0" memberValueDatatype="130" unbalanced="0"/>
    <cacheHierarchy uniqueName="[Manufacturing].[Production Date (Year)]" caption="Production Date (Year)" attribute="1" defaultMemberUniqueName="[Manufacturing].[Production Date (Year)].[All]" allUniqueName="[Manufacturing].[Production Date (Year)].[All]" dimensionUniqueName="[Manufacturing]" displayFolder="" count="0" memberValueDatatype="130" unbalanced="0"/>
    <cacheHierarchy uniqueName="[Manufacturing].[Production Date (Quarter)]" caption="Production Date (Quarter)" attribute="1" defaultMemberUniqueName="[Manufacturing].[Production Date (Quarter)].[All]" allUniqueName="[Manufacturing].[Production Date (Quarter)].[All]" dimensionUniqueName="[Manufacturing]" displayFolder="" count="0" memberValueDatatype="130" unbalanced="0"/>
    <cacheHierarchy uniqueName="[Manufacturing].[Production Date (Month)]" caption="Production Date (Month)" attribute="1" defaultMemberUniqueName="[Manufacturing].[Production Date (Month)].[All]" allUniqueName="[Manufacturing].[Production Date (Month)].[All]" dimensionUniqueName="[Manufacturing]" displayFolder="" count="0" memberValueDatatype="130" unbalanced="0"/>
    <cacheHierarchy uniqueName="[Manufacturing].[Month]" caption="Month" attribute="1" defaultMemberUniqueName="[Manufacturing].[Month].[All]" allUniqueName="[Manufacturing].[Month].[All]" dimensionUniqueName="[Manufacturing]" displayFolder="" count="2" memberValueDatatype="20" unbalanced="0"/>
    <cacheHierarchy uniqueName="[Manufacturing].[Year]" caption="Year" attribute="1" defaultMemberUniqueName="[Manufacturing].[Year].[All]" allUniqueName="[Manufacturing].[Year].[All]" dimensionUniqueName="[Manufacturing]" displayFolder="" count="0" memberValueDatatype="20" unbalanced="0"/>
    <cacheHierarchy uniqueName="[Manufacturing].[Defect Range]" caption="Defect Range" attribute="1" defaultMemberUniqueName="[Manufacturing].[Defect Range].[All]" allUniqueName="[Manufacturing].[Defect Range].[All]" dimensionUniqueName="[Manufacturing]" displayFolder="" count="0" memberValueDatatype="130" unbalanced="0"/>
    <cacheHierarchy uniqueName="[Manufacturing].[Production Date (Month Index)]" caption="Production Date (Month Index)" attribute="1" defaultMemberUniqueName="[Manufacturing].[Production Date (Month Index)].[All]" allUniqueName="[Manufacturing].[Production Date (Month Index)].[All]" dimensionUniqueName="[Manufacturing]" displayFolder="" count="0" memberValueDatatype="20" unbalanced="0" hidden="1"/>
    <cacheHierarchy uniqueName="[Measures].[__XL_Count Manufacturing]" caption="__XL_Count Manufacturing" measure="1" displayFolder="" measureGroup="Manufacturing" count="0" hidden="1"/>
    <cacheHierarchy uniqueName="[Measures].[__No measures defined]" caption="__No measures defined" measure="1" displayFolder="" count="0" hidden="1"/>
    <cacheHierarchy uniqueName="[Measures].[Sum of Quantity Produced]" caption="Sum of Quantity Produced" measure="1" displayFolder="" measureGroup="Manufacturing" count="0" hidden="1">
      <extLst>
        <ext xmlns:x15="http://schemas.microsoft.com/office/spreadsheetml/2010/11/main" uri="{B97F6D7D-B522-45F9-BDA1-12C45D357490}">
          <x15:cacheHierarchy aggregatedColumn="5"/>
        </ext>
      </extLst>
    </cacheHierarchy>
    <cacheHierarchy uniqueName="[Measures].[Sum of Defects]" caption="Sum of Defects" measure="1" displayFolder="" measureGroup="Manufacturing" count="0" hidden="1">
      <extLst>
        <ext xmlns:x15="http://schemas.microsoft.com/office/spreadsheetml/2010/11/main" uri="{B97F6D7D-B522-45F9-BDA1-12C45D357490}">
          <x15:cacheHierarchy aggregatedColumn="6"/>
        </ext>
      </extLst>
    </cacheHierarchy>
    <cacheHierarchy uniqueName="[Measures].[Sum of Production Cost ($)]" caption="Sum of Production Cost ($)" measure="1" displayFolder="" measureGroup="Manufacturing" count="0" hidden="1">
      <extLst>
        <ext xmlns:x15="http://schemas.microsoft.com/office/spreadsheetml/2010/11/main" uri="{B97F6D7D-B522-45F9-BDA1-12C45D357490}">
          <x15:cacheHierarchy aggregatedColumn="8"/>
        </ext>
      </extLst>
    </cacheHierarchy>
    <cacheHierarchy uniqueName="[Measures].[Sum of Sales Revenue ($)]" caption="Sum of Sales Revenue ($)" measure="1" displayFolder="" measureGroup="Manufacturing"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Efficiency (%)]" caption="Sum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Average of Efficiency (%)]" caption="Average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Manufacturing" count="0" hidden="1">
      <extLst>
        <ext xmlns:x15="http://schemas.microsoft.com/office/spreadsheetml/2010/11/main" uri="{B97F6D7D-B522-45F9-BDA1-12C45D357490}">
          <x15:cacheHierarchy aggregatedColumn="2"/>
        </ext>
      </extLst>
    </cacheHierarchy>
    <cacheHierarchy uniqueName="[Measures].[Count of Production Date]" caption="Count of Production Date" measure="1" displayFolder="" measureGroup="Manufacturing" count="0" hidden="1">
      <extLst>
        <ext xmlns:x15="http://schemas.microsoft.com/office/spreadsheetml/2010/11/main" uri="{B97F6D7D-B522-45F9-BDA1-12C45D357490}">
          <x15:cacheHierarchy aggregatedColumn="4"/>
        </ext>
      </extLst>
    </cacheHierarchy>
    <cacheHierarchy uniqueName="[Measures].[Count of Defect Range]" caption="Count of Defect Range" measure="1" displayFolder="" measureGroup="Manufacturing" count="0" hidden="1">
      <extLst>
        <ext xmlns:x15="http://schemas.microsoft.com/office/spreadsheetml/2010/11/main" uri="{B97F6D7D-B522-45F9-BDA1-12C45D357490}">
          <x15:cacheHierarchy aggregatedColumn="17"/>
        </ext>
      </extLst>
    </cacheHierarchy>
    <cacheHierarchy uniqueName="[Measures].[Sum of Downtime (Hours)]" caption="Sum of Downtime (Hours)" measure="1" displayFolder="" measureGroup="Manufacturing" count="0" hidden="1">
      <extLst>
        <ext xmlns:x15="http://schemas.microsoft.com/office/spreadsheetml/2010/11/main" uri="{B97F6D7D-B522-45F9-BDA1-12C45D357490}">
          <x15:cacheHierarchy aggregatedColumn="7"/>
        </ext>
      </extLst>
    </cacheHierarchy>
  </cacheHierarchies>
  <kpis count="0"/>
  <dimensions count="2">
    <dimension name="Manufacturing" uniqueName="[Manufacturing]" caption="Manufacturing"/>
    <dimension measure="1" name="Measures" uniqueName="[Measures]" caption="Measures"/>
  </dimensions>
  <measureGroups count="1">
    <measureGroup name="Manufacturing" caption="Manufactur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73.448637499998" backgroundQuery="1" createdVersion="8" refreshedVersion="8" minRefreshableVersion="3" recordCount="0" supportSubquery="1" supportAdvancedDrill="1" xr:uid="{376DA48F-CFD8-4B67-A154-72309FB50AD8}">
  <cacheSource type="external" connectionId="1"/>
  <cacheFields count="2">
    <cacheField name="[Measures].[Sum of Quantity Produced]" caption="Sum of Quantity Produced" numFmtId="0" hierarchy="21" level="32767"/>
    <cacheField name="[Manufacturing].[Manufacturing Plant].[Manufacturing Plant]" caption="Manufacturing Plant" numFmtId="0" hierarchy="3" level="1">
      <sharedItems count="3">
        <s v="Plant A"/>
        <s v="Plant B"/>
        <s v="Plant C"/>
      </sharedItems>
    </cacheField>
  </cacheFields>
  <cacheHierarchies count="31">
    <cacheHierarchy uniqueName="[Manufacturing].[Order ID]" caption="Order ID" attribute="1" defaultMemberUniqueName="[Manufacturing].[Order ID].[All]" allUniqueName="[Manufacturing].[Order ID].[All]" dimensionUniqueName="[Manufacturing]" displayFolder="" count="0" memberValueDatatype="130" unbalanced="0"/>
    <cacheHierarchy uniqueName="[Manufacturing].[Product]" caption="Product" attribute="1" defaultMemberUniqueName="[Manufacturing].[Product].[All]" allUniqueName="[Manufacturing].[Product].[All]" dimensionUniqueName="[Manufacturing]" displayFolder="" count="0" memberValueDatatype="130" unbalanced="0"/>
    <cacheHierarchy uniqueName="[Manufacturing].[Category]" caption="Category" attribute="1" defaultMemberUniqueName="[Manufacturing].[Category].[All]" allUniqueName="[Manufacturing].[Category].[All]" dimensionUniqueName="[Manufacturing]" displayFolder="" count="2" memberValueDatatype="130" unbalanced="0"/>
    <cacheHierarchy uniqueName="[Manufacturing].[Manufacturing Plant]" caption="Manufacturing Plant" attribute="1" defaultMemberUniqueName="[Manufacturing].[Manufacturing Plant].[All]" allUniqueName="[Manufacturing].[Manufacturing Plant].[All]" dimensionUniqueName="[Manufacturing]" displayFolder="" count="2" memberValueDatatype="130" unbalanced="0">
      <fieldsUsage count="2">
        <fieldUsage x="-1"/>
        <fieldUsage x="1"/>
      </fieldsUsage>
    </cacheHierarchy>
    <cacheHierarchy uniqueName="[Manufacturing].[Production Date]" caption="Production Date" attribute="1" time="1" defaultMemberUniqueName="[Manufacturing].[Production Date].[All]" allUniqueName="[Manufacturing].[Production Date].[All]" dimensionUniqueName="[Manufacturing]" displayFolder="" count="0" memberValueDatatype="7" unbalanced="0"/>
    <cacheHierarchy uniqueName="[Manufacturing].[Quantity Produced]" caption="Quantity Produced" attribute="1" defaultMemberUniqueName="[Manufacturing].[Quantity Produced].[All]" allUniqueName="[Manufacturing].[Quantity Produced].[All]" dimensionUniqueName="[Manufacturing]" displayFolder="" count="0" memberValueDatatype="20" unbalanced="0"/>
    <cacheHierarchy uniqueName="[Manufacturing].[Defects]" caption="Defects" attribute="1" defaultMemberUniqueName="[Manufacturing].[Defects].[All]" allUniqueName="[Manufacturing].[Defects].[All]" dimensionUniqueName="[Manufacturing]" displayFolder="" count="0" memberValueDatatype="20" unbalanced="0"/>
    <cacheHierarchy uniqueName="[Manufacturing].[Downtime (Hours)]" caption="Downtime (Hours)" attribute="1" defaultMemberUniqueName="[Manufacturing].[Downtime (Hours)].[All]" allUniqueName="[Manufacturing].[Downtime (Hours)].[All]" dimensionUniqueName="[Manufacturing]" displayFolder="" count="0" memberValueDatatype="5" unbalanced="0"/>
    <cacheHierarchy uniqueName="[Manufacturing].[Production Cost ($)]" caption="Production Cost ($)" attribute="1" defaultMemberUniqueName="[Manufacturing].[Production Cost ($)].[All]" allUniqueName="[Manufacturing].[Production Cost ($)].[All]" dimensionUniqueName="[Manufacturing]" displayFolder="" count="0" memberValueDatatype="5" unbalanced="0"/>
    <cacheHierarchy uniqueName="[Manufacturing].[Sales Revenue ($)]" caption="Sales Revenue ($)" attribute="1" defaultMemberUniqueName="[Manufacturing].[Sales Revenue ($)].[All]" allUniqueName="[Manufacturing].[Sales Revenue ($)].[All]" dimensionUniqueName="[Manufacturing]" displayFolder="" count="0" memberValueDatatype="5" unbalanced="0"/>
    <cacheHierarchy uniqueName="[Manufacturing].[Efficiency (%)]" caption="Efficiency (%)" attribute="1" defaultMemberUniqueName="[Manufacturing].[Efficiency (%)].[All]" allUniqueName="[Manufacturing].[Efficiency (%)].[All]" dimensionUniqueName="[Manufacturing]" displayFolder="" count="0" memberValueDatatype="5" unbalanced="0"/>
    <cacheHierarchy uniqueName="[Manufacturing].[Supervisor]" caption="Supervisor" attribute="1" defaultMemberUniqueName="[Manufacturing].[Supervisor].[All]" allUniqueName="[Manufacturing].[Supervisor].[All]" dimensionUniqueName="[Manufacturing]" displayFolder="" count="0" memberValueDatatype="130" unbalanced="0"/>
    <cacheHierarchy uniqueName="[Manufacturing].[Production Date (Year)]" caption="Production Date (Year)" attribute="1" defaultMemberUniqueName="[Manufacturing].[Production Date (Year)].[All]" allUniqueName="[Manufacturing].[Production Date (Year)].[All]" dimensionUniqueName="[Manufacturing]" displayFolder="" count="0" memberValueDatatype="130" unbalanced="0"/>
    <cacheHierarchy uniqueName="[Manufacturing].[Production Date (Quarter)]" caption="Production Date (Quarter)" attribute="1" defaultMemberUniqueName="[Manufacturing].[Production Date (Quarter)].[All]" allUniqueName="[Manufacturing].[Production Date (Quarter)].[All]" dimensionUniqueName="[Manufacturing]" displayFolder="" count="0" memberValueDatatype="130" unbalanced="0"/>
    <cacheHierarchy uniqueName="[Manufacturing].[Production Date (Month)]" caption="Production Date (Month)" attribute="1" defaultMemberUniqueName="[Manufacturing].[Production Date (Month)].[All]" allUniqueName="[Manufacturing].[Production Date (Month)].[All]" dimensionUniqueName="[Manufacturing]" displayFolder="" count="0" memberValueDatatype="130" unbalanced="0"/>
    <cacheHierarchy uniqueName="[Manufacturing].[Month]" caption="Month" attribute="1" defaultMemberUniqueName="[Manufacturing].[Month].[All]" allUniqueName="[Manufacturing].[Month].[All]" dimensionUniqueName="[Manufacturing]" displayFolder="" count="2" memberValueDatatype="20" unbalanced="0"/>
    <cacheHierarchy uniqueName="[Manufacturing].[Year]" caption="Year" attribute="1" defaultMemberUniqueName="[Manufacturing].[Year].[All]" allUniqueName="[Manufacturing].[Year].[All]" dimensionUniqueName="[Manufacturing]" displayFolder="" count="0" memberValueDatatype="20" unbalanced="0"/>
    <cacheHierarchy uniqueName="[Manufacturing].[Defect Range]" caption="Defect Range" attribute="1" defaultMemberUniqueName="[Manufacturing].[Defect Range].[All]" allUniqueName="[Manufacturing].[Defect Range].[All]" dimensionUniqueName="[Manufacturing]" displayFolder="" count="0" memberValueDatatype="130" unbalanced="0"/>
    <cacheHierarchy uniqueName="[Manufacturing].[Production Date (Month Index)]" caption="Production Date (Month Index)" attribute="1" defaultMemberUniqueName="[Manufacturing].[Production Date (Month Index)].[All]" allUniqueName="[Manufacturing].[Production Date (Month Index)].[All]" dimensionUniqueName="[Manufacturing]" displayFolder="" count="0" memberValueDatatype="20" unbalanced="0" hidden="1"/>
    <cacheHierarchy uniqueName="[Measures].[__XL_Count Manufacturing]" caption="__XL_Count Manufacturing" measure="1" displayFolder="" measureGroup="Manufacturing" count="0" hidden="1"/>
    <cacheHierarchy uniqueName="[Measures].[__No measures defined]" caption="__No measures defined" measure="1" displayFolder="" count="0" hidden="1"/>
    <cacheHierarchy uniqueName="[Measures].[Sum of Quantity Produced]" caption="Sum of Quantity Produced" measure="1" displayFolder="" measureGroup="Manufacturing"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Defects]" caption="Sum of Defects" measure="1" displayFolder="" measureGroup="Manufacturing" count="0" hidden="1">
      <extLst>
        <ext xmlns:x15="http://schemas.microsoft.com/office/spreadsheetml/2010/11/main" uri="{B97F6D7D-B522-45F9-BDA1-12C45D357490}">
          <x15:cacheHierarchy aggregatedColumn="6"/>
        </ext>
      </extLst>
    </cacheHierarchy>
    <cacheHierarchy uniqueName="[Measures].[Sum of Production Cost ($)]" caption="Sum of Production Cost ($)" measure="1" displayFolder="" measureGroup="Manufacturing" count="0" hidden="1">
      <extLst>
        <ext xmlns:x15="http://schemas.microsoft.com/office/spreadsheetml/2010/11/main" uri="{B97F6D7D-B522-45F9-BDA1-12C45D357490}">
          <x15:cacheHierarchy aggregatedColumn="8"/>
        </ext>
      </extLst>
    </cacheHierarchy>
    <cacheHierarchy uniqueName="[Measures].[Sum of Sales Revenue ($)]" caption="Sum of Sales Revenue ($)" measure="1" displayFolder="" measureGroup="Manufacturing" count="0" hidden="1">
      <extLst>
        <ext xmlns:x15="http://schemas.microsoft.com/office/spreadsheetml/2010/11/main" uri="{B97F6D7D-B522-45F9-BDA1-12C45D357490}">
          <x15:cacheHierarchy aggregatedColumn="9"/>
        </ext>
      </extLst>
    </cacheHierarchy>
    <cacheHierarchy uniqueName="[Measures].[Sum of Efficiency (%)]" caption="Sum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Average of Efficiency (%)]" caption="Average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Manufacturing" count="0" hidden="1">
      <extLst>
        <ext xmlns:x15="http://schemas.microsoft.com/office/spreadsheetml/2010/11/main" uri="{B97F6D7D-B522-45F9-BDA1-12C45D357490}">
          <x15:cacheHierarchy aggregatedColumn="2"/>
        </ext>
      </extLst>
    </cacheHierarchy>
    <cacheHierarchy uniqueName="[Measures].[Count of Production Date]" caption="Count of Production Date" measure="1" displayFolder="" measureGroup="Manufacturing" count="0" hidden="1">
      <extLst>
        <ext xmlns:x15="http://schemas.microsoft.com/office/spreadsheetml/2010/11/main" uri="{B97F6D7D-B522-45F9-BDA1-12C45D357490}">
          <x15:cacheHierarchy aggregatedColumn="4"/>
        </ext>
      </extLst>
    </cacheHierarchy>
    <cacheHierarchy uniqueName="[Measures].[Count of Defect Range]" caption="Count of Defect Range" measure="1" displayFolder="" measureGroup="Manufacturing" count="0" hidden="1">
      <extLst>
        <ext xmlns:x15="http://schemas.microsoft.com/office/spreadsheetml/2010/11/main" uri="{B97F6D7D-B522-45F9-BDA1-12C45D357490}">
          <x15:cacheHierarchy aggregatedColumn="17"/>
        </ext>
      </extLst>
    </cacheHierarchy>
    <cacheHierarchy uniqueName="[Measures].[Sum of Downtime (Hours)]" caption="Sum of Downtime (Hours)" measure="1" displayFolder="" measureGroup="Manufacturing" count="0" hidden="1">
      <extLst>
        <ext xmlns:x15="http://schemas.microsoft.com/office/spreadsheetml/2010/11/main" uri="{B97F6D7D-B522-45F9-BDA1-12C45D357490}">
          <x15:cacheHierarchy aggregatedColumn="7"/>
        </ext>
      </extLst>
    </cacheHierarchy>
  </cacheHierarchies>
  <kpis count="0"/>
  <dimensions count="2">
    <dimension name="Manufacturing" uniqueName="[Manufacturing]" caption="Manufacturing"/>
    <dimension measure="1" name="Measures" uniqueName="[Measures]" caption="Measures"/>
  </dimensions>
  <measureGroups count="1">
    <measureGroup name="Manufacturing" caption="Manufactur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73.448639236114" backgroundQuery="1" createdVersion="8" refreshedVersion="8" minRefreshableVersion="3" recordCount="0" supportSubquery="1" supportAdvancedDrill="1" xr:uid="{AFF36DCC-7D04-4AB1-A32B-AA171C96C7F2}">
  <cacheSource type="external" connectionId="1"/>
  <cacheFields count="3">
    <cacheField name="[Manufacturing].[Category].[Category]" caption="Category" numFmtId="0" hierarchy="2" level="1">
      <sharedItems count="3">
        <s v="Electronics"/>
        <s v="Mechanical"/>
        <s v="Tools"/>
      </sharedItems>
    </cacheField>
    <cacheField name="[Measures].[Sum of Defects]" caption="Sum of Defects" numFmtId="0" hierarchy="22" level="32767"/>
    <cacheField name="[Manufacturing].[Manufacturing Plant].[Manufacturing Plant]" caption="Manufacturing Plant" numFmtId="0" hierarchy="3" level="1">
      <sharedItems containsSemiMixedTypes="0" containsNonDate="0" containsString="0"/>
    </cacheField>
  </cacheFields>
  <cacheHierarchies count="31">
    <cacheHierarchy uniqueName="[Manufacturing].[Order ID]" caption="Order ID" attribute="1" defaultMemberUniqueName="[Manufacturing].[Order ID].[All]" allUniqueName="[Manufacturing].[Order ID].[All]" dimensionUniqueName="[Manufacturing]" displayFolder="" count="0" memberValueDatatype="130" unbalanced="0"/>
    <cacheHierarchy uniqueName="[Manufacturing].[Product]" caption="Product" attribute="1" defaultMemberUniqueName="[Manufacturing].[Product].[All]" allUniqueName="[Manufacturing].[Product].[All]" dimensionUniqueName="[Manufacturing]" displayFolder="" count="0" memberValueDatatype="130" unbalanced="0"/>
    <cacheHierarchy uniqueName="[Manufacturing].[Category]" caption="Category" attribute="1" defaultMemberUniqueName="[Manufacturing].[Category].[All]" allUniqueName="[Manufacturing].[Category].[All]" dimensionUniqueName="[Manufacturing]" displayFolder="" count="2" memberValueDatatype="130" unbalanced="0">
      <fieldsUsage count="2">
        <fieldUsage x="-1"/>
        <fieldUsage x="0"/>
      </fieldsUsage>
    </cacheHierarchy>
    <cacheHierarchy uniqueName="[Manufacturing].[Manufacturing Plant]" caption="Manufacturing Plant" attribute="1" defaultMemberUniqueName="[Manufacturing].[Manufacturing Plant].[All]" allUniqueName="[Manufacturing].[Manufacturing Plant].[All]" dimensionUniqueName="[Manufacturing]" displayFolder="" count="2" memberValueDatatype="130" unbalanced="0">
      <fieldsUsage count="2">
        <fieldUsage x="-1"/>
        <fieldUsage x="2"/>
      </fieldsUsage>
    </cacheHierarchy>
    <cacheHierarchy uniqueName="[Manufacturing].[Production Date]" caption="Production Date" attribute="1" time="1" defaultMemberUniqueName="[Manufacturing].[Production Date].[All]" allUniqueName="[Manufacturing].[Production Date].[All]" dimensionUniqueName="[Manufacturing]" displayFolder="" count="0" memberValueDatatype="7" unbalanced="0"/>
    <cacheHierarchy uniqueName="[Manufacturing].[Quantity Produced]" caption="Quantity Produced" attribute="1" defaultMemberUniqueName="[Manufacturing].[Quantity Produced].[All]" allUniqueName="[Manufacturing].[Quantity Produced].[All]" dimensionUniqueName="[Manufacturing]" displayFolder="" count="0" memberValueDatatype="20" unbalanced="0"/>
    <cacheHierarchy uniqueName="[Manufacturing].[Defects]" caption="Defects" attribute="1" defaultMemberUniqueName="[Manufacturing].[Defects].[All]" allUniqueName="[Manufacturing].[Defects].[All]" dimensionUniqueName="[Manufacturing]" displayFolder="" count="0" memberValueDatatype="20" unbalanced="0"/>
    <cacheHierarchy uniqueName="[Manufacturing].[Downtime (Hours)]" caption="Downtime (Hours)" attribute="1" defaultMemberUniqueName="[Manufacturing].[Downtime (Hours)].[All]" allUniqueName="[Manufacturing].[Downtime (Hours)].[All]" dimensionUniqueName="[Manufacturing]" displayFolder="" count="0" memberValueDatatype="5" unbalanced="0"/>
    <cacheHierarchy uniqueName="[Manufacturing].[Production Cost ($)]" caption="Production Cost ($)" attribute="1" defaultMemberUniqueName="[Manufacturing].[Production Cost ($)].[All]" allUniqueName="[Manufacturing].[Production Cost ($)].[All]" dimensionUniqueName="[Manufacturing]" displayFolder="" count="0" memberValueDatatype="5" unbalanced="0"/>
    <cacheHierarchy uniqueName="[Manufacturing].[Sales Revenue ($)]" caption="Sales Revenue ($)" attribute="1" defaultMemberUniqueName="[Manufacturing].[Sales Revenue ($)].[All]" allUniqueName="[Manufacturing].[Sales Revenue ($)].[All]" dimensionUniqueName="[Manufacturing]" displayFolder="" count="0" memberValueDatatype="5" unbalanced="0"/>
    <cacheHierarchy uniqueName="[Manufacturing].[Efficiency (%)]" caption="Efficiency (%)" attribute="1" defaultMemberUniqueName="[Manufacturing].[Efficiency (%)].[All]" allUniqueName="[Manufacturing].[Efficiency (%)].[All]" dimensionUniqueName="[Manufacturing]" displayFolder="" count="0" memberValueDatatype="5" unbalanced="0"/>
    <cacheHierarchy uniqueName="[Manufacturing].[Supervisor]" caption="Supervisor" attribute="1" defaultMemberUniqueName="[Manufacturing].[Supervisor].[All]" allUniqueName="[Manufacturing].[Supervisor].[All]" dimensionUniqueName="[Manufacturing]" displayFolder="" count="0" memberValueDatatype="130" unbalanced="0"/>
    <cacheHierarchy uniqueName="[Manufacturing].[Production Date (Year)]" caption="Production Date (Year)" attribute="1" defaultMemberUniqueName="[Manufacturing].[Production Date (Year)].[All]" allUniqueName="[Manufacturing].[Production Date (Year)].[All]" dimensionUniqueName="[Manufacturing]" displayFolder="" count="0" memberValueDatatype="130" unbalanced="0"/>
    <cacheHierarchy uniqueName="[Manufacturing].[Production Date (Quarter)]" caption="Production Date (Quarter)" attribute="1" defaultMemberUniqueName="[Manufacturing].[Production Date (Quarter)].[All]" allUniqueName="[Manufacturing].[Production Date (Quarter)].[All]" dimensionUniqueName="[Manufacturing]" displayFolder="" count="0" memberValueDatatype="130" unbalanced="0"/>
    <cacheHierarchy uniqueName="[Manufacturing].[Production Date (Month)]" caption="Production Date (Month)" attribute="1" defaultMemberUniqueName="[Manufacturing].[Production Date (Month)].[All]" allUniqueName="[Manufacturing].[Production Date (Month)].[All]" dimensionUniqueName="[Manufacturing]" displayFolder="" count="0" memberValueDatatype="130" unbalanced="0"/>
    <cacheHierarchy uniqueName="[Manufacturing].[Month]" caption="Month" attribute="1" defaultMemberUniqueName="[Manufacturing].[Month].[All]" allUniqueName="[Manufacturing].[Month].[All]" dimensionUniqueName="[Manufacturing]" displayFolder="" count="2" memberValueDatatype="20" unbalanced="0"/>
    <cacheHierarchy uniqueName="[Manufacturing].[Year]" caption="Year" attribute="1" defaultMemberUniqueName="[Manufacturing].[Year].[All]" allUniqueName="[Manufacturing].[Year].[All]" dimensionUniqueName="[Manufacturing]" displayFolder="" count="0" memberValueDatatype="20" unbalanced="0"/>
    <cacheHierarchy uniqueName="[Manufacturing].[Defect Range]" caption="Defect Range" attribute="1" defaultMemberUniqueName="[Manufacturing].[Defect Range].[All]" allUniqueName="[Manufacturing].[Defect Range].[All]" dimensionUniqueName="[Manufacturing]" displayFolder="" count="0" memberValueDatatype="130" unbalanced="0"/>
    <cacheHierarchy uniqueName="[Manufacturing].[Production Date (Month Index)]" caption="Production Date (Month Index)" attribute="1" defaultMemberUniqueName="[Manufacturing].[Production Date (Month Index)].[All]" allUniqueName="[Manufacturing].[Production Date (Month Index)].[All]" dimensionUniqueName="[Manufacturing]" displayFolder="" count="0" memberValueDatatype="20" unbalanced="0" hidden="1"/>
    <cacheHierarchy uniqueName="[Measures].[__XL_Count Manufacturing]" caption="__XL_Count Manufacturing" measure="1" displayFolder="" measureGroup="Manufacturing" count="0" hidden="1"/>
    <cacheHierarchy uniqueName="[Measures].[__No measures defined]" caption="__No measures defined" measure="1" displayFolder="" count="0" hidden="1"/>
    <cacheHierarchy uniqueName="[Measures].[Sum of Quantity Produced]" caption="Sum of Quantity Produced" measure="1" displayFolder="" measureGroup="Manufacturing" count="0" hidden="1">
      <extLst>
        <ext xmlns:x15="http://schemas.microsoft.com/office/spreadsheetml/2010/11/main" uri="{B97F6D7D-B522-45F9-BDA1-12C45D357490}">
          <x15:cacheHierarchy aggregatedColumn="5"/>
        </ext>
      </extLst>
    </cacheHierarchy>
    <cacheHierarchy uniqueName="[Measures].[Sum of Defects]" caption="Sum of Defects" measure="1" displayFolder="" measureGroup="Manufacturing"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Production Cost ($)]" caption="Sum of Production Cost ($)" measure="1" displayFolder="" measureGroup="Manufacturing" count="0" hidden="1">
      <extLst>
        <ext xmlns:x15="http://schemas.microsoft.com/office/spreadsheetml/2010/11/main" uri="{B97F6D7D-B522-45F9-BDA1-12C45D357490}">
          <x15:cacheHierarchy aggregatedColumn="8"/>
        </ext>
      </extLst>
    </cacheHierarchy>
    <cacheHierarchy uniqueName="[Measures].[Sum of Sales Revenue ($)]" caption="Sum of Sales Revenue ($)" measure="1" displayFolder="" measureGroup="Manufacturing" count="0" hidden="1">
      <extLst>
        <ext xmlns:x15="http://schemas.microsoft.com/office/spreadsheetml/2010/11/main" uri="{B97F6D7D-B522-45F9-BDA1-12C45D357490}">
          <x15:cacheHierarchy aggregatedColumn="9"/>
        </ext>
      </extLst>
    </cacheHierarchy>
    <cacheHierarchy uniqueName="[Measures].[Sum of Efficiency (%)]" caption="Sum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Average of Efficiency (%)]" caption="Average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Manufacturing" count="0" hidden="1">
      <extLst>
        <ext xmlns:x15="http://schemas.microsoft.com/office/spreadsheetml/2010/11/main" uri="{B97F6D7D-B522-45F9-BDA1-12C45D357490}">
          <x15:cacheHierarchy aggregatedColumn="2"/>
        </ext>
      </extLst>
    </cacheHierarchy>
    <cacheHierarchy uniqueName="[Measures].[Count of Production Date]" caption="Count of Production Date" measure="1" displayFolder="" measureGroup="Manufacturing" count="0" hidden="1">
      <extLst>
        <ext xmlns:x15="http://schemas.microsoft.com/office/spreadsheetml/2010/11/main" uri="{B97F6D7D-B522-45F9-BDA1-12C45D357490}">
          <x15:cacheHierarchy aggregatedColumn="4"/>
        </ext>
      </extLst>
    </cacheHierarchy>
    <cacheHierarchy uniqueName="[Measures].[Count of Defect Range]" caption="Count of Defect Range" measure="1" displayFolder="" measureGroup="Manufacturing" count="0" hidden="1">
      <extLst>
        <ext xmlns:x15="http://schemas.microsoft.com/office/spreadsheetml/2010/11/main" uri="{B97F6D7D-B522-45F9-BDA1-12C45D357490}">
          <x15:cacheHierarchy aggregatedColumn="17"/>
        </ext>
      </extLst>
    </cacheHierarchy>
    <cacheHierarchy uniqueName="[Measures].[Sum of Downtime (Hours)]" caption="Sum of Downtime (Hours)" measure="1" displayFolder="" measureGroup="Manufacturing" count="0" hidden="1">
      <extLst>
        <ext xmlns:x15="http://schemas.microsoft.com/office/spreadsheetml/2010/11/main" uri="{B97F6D7D-B522-45F9-BDA1-12C45D357490}">
          <x15:cacheHierarchy aggregatedColumn="7"/>
        </ext>
      </extLst>
    </cacheHierarchy>
  </cacheHierarchies>
  <kpis count="0"/>
  <dimensions count="2">
    <dimension name="Manufacturing" uniqueName="[Manufacturing]" caption="Manufacturing"/>
    <dimension measure="1" name="Measures" uniqueName="[Measures]" caption="Measures"/>
  </dimensions>
  <measureGroups count="1">
    <measureGroup name="Manufacturing" caption="Manufactur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73.448640972223" backgroundQuery="1" createdVersion="8" refreshedVersion="8" minRefreshableVersion="3" recordCount="0" supportSubquery="1" supportAdvancedDrill="1" xr:uid="{A87C2A6D-4DCD-4FCC-8B89-7DF2BF44904E}">
  <cacheSource type="external" connectionId="1"/>
  <cacheFields count="4">
    <cacheField name="[Manufacturing].[Production Date (Month)].[Production Date (Month)]" caption="Production Date (Month)" numFmtId="0" hierarchy="14" level="1">
      <sharedItems count="12">
        <s v="Jan"/>
        <s v="Feb"/>
        <s v="Mar"/>
        <s v="Apr"/>
        <s v="May"/>
        <s v="Jun"/>
        <s v="Jul"/>
        <s v="Aug"/>
        <s v="Sep"/>
        <s v="Oct"/>
        <s v="Nov"/>
        <s v="Dec"/>
      </sharedItems>
    </cacheField>
    <cacheField name="[Manufacturing].[Category].[Category]" caption="Category" numFmtId="0" hierarchy="2" level="1">
      <sharedItems count="3">
        <s v="Electronics"/>
        <s v="Mechanical"/>
        <s v="Tools"/>
      </sharedItems>
    </cacheField>
    <cacheField name="[Measures].[Sum of Sales Revenue ($)]" caption="Sum of Sales Revenue ($)" numFmtId="0" hierarchy="24" level="32767"/>
    <cacheField name="[Manufacturing].[Manufacturing Plant].[Manufacturing Plant]" caption="Manufacturing Plant" numFmtId="0" hierarchy="3" level="1">
      <sharedItems containsSemiMixedTypes="0" containsNonDate="0" containsString="0"/>
    </cacheField>
  </cacheFields>
  <cacheHierarchies count="31">
    <cacheHierarchy uniqueName="[Manufacturing].[Order ID]" caption="Order ID" attribute="1" defaultMemberUniqueName="[Manufacturing].[Order ID].[All]" allUniqueName="[Manufacturing].[Order ID].[All]" dimensionUniqueName="[Manufacturing]" displayFolder="" count="0" memberValueDatatype="130" unbalanced="0"/>
    <cacheHierarchy uniqueName="[Manufacturing].[Product]" caption="Product" attribute="1" defaultMemberUniqueName="[Manufacturing].[Product].[All]" allUniqueName="[Manufacturing].[Product].[All]" dimensionUniqueName="[Manufacturing]" displayFolder="" count="0" memberValueDatatype="130" unbalanced="0"/>
    <cacheHierarchy uniqueName="[Manufacturing].[Category]" caption="Category" attribute="1" defaultMemberUniqueName="[Manufacturing].[Category].[All]" allUniqueName="[Manufacturing].[Category].[All]" dimensionUniqueName="[Manufacturing]" displayFolder="" count="2" memberValueDatatype="130" unbalanced="0">
      <fieldsUsage count="2">
        <fieldUsage x="-1"/>
        <fieldUsage x="1"/>
      </fieldsUsage>
    </cacheHierarchy>
    <cacheHierarchy uniqueName="[Manufacturing].[Manufacturing Plant]" caption="Manufacturing Plant" attribute="1" defaultMemberUniqueName="[Manufacturing].[Manufacturing Plant].[All]" allUniqueName="[Manufacturing].[Manufacturing Plant].[All]" dimensionUniqueName="[Manufacturing]" displayFolder="" count="2" memberValueDatatype="130" unbalanced="0">
      <fieldsUsage count="2">
        <fieldUsage x="-1"/>
        <fieldUsage x="3"/>
      </fieldsUsage>
    </cacheHierarchy>
    <cacheHierarchy uniqueName="[Manufacturing].[Production Date]" caption="Production Date" attribute="1" time="1" defaultMemberUniqueName="[Manufacturing].[Production Date].[All]" allUniqueName="[Manufacturing].[Production Date].[All]" dimensionUniqueName="[Manufacturing]" displayFolder="" count="0" memberValueDatatype="7" unbalanced="0"/>
    <cacheHierarchy uniqueName="[Manufacturing].[Quantity Produced]" caption="Quantity Produced" attribute="1" defaultMemberUniqueName="[Manufacturing].[Quantity Produced].[All]" allUniqueName="[Manufacturing].[Quantity Produced].[All]" dimensionUniqueName="[Manufacturing]" displayFolder="" count="0" memberValueDatatype="20" unbalanced="0"/>
    <cacheHierarchy uniqueName="[Manufacturing].[Defects]" caption="Defects" attribute="1" defaultMemberUniqueName="[Manufacturing].[Defects].[All]" allUniqueName="[Manufacturing].[Defects].[All]" dimensionUniqueName="[Manufacturing]" displayFolder="" count="0" memberValueDatatype="20" unbalanced="0"/>
    <cacheHierarchy uniqueName="[Manufacturing].[Downtime (Hours)]" caption="Downtime (Hours)" attribute="1" defaultMemberUniqueName="[Manufacturing].[Downtime (Hours)].[All]" allUniqueName="[Manufacturing].[Downtime (Hours)].[All]" dimensionUniqueName="[Manufacturing]" displayFolder="" count="0" memberValueDatatype="5" unbalanced="0"/>
    <cacheHierarchy uniqueName="[Manufacturing].[Production Cost ($)]" caption="Production Cost ($)" attribute="1" defaultMemberUniqueName="[Manufacturing].[Production Cost ($)].[All]" allUniqueName="[Manufacturing].[Production Cost ($)].[All]" dimensionUniqueName="[Manufacturing]" displayFolder="" count="0" memberValueDatatype="5" unbalanced="0"/>
    <cacheHierarchy uniqueName="[Manufacturing].[Sales Revenue ($)]" caption="Sales Revenue ($)" attribute="1" defaultMemberUniqueName="[Manufacturing].[Sales Revenue ($)].[All]" allUniqueName="[Manufacturing].[Sales Revenue ($)].[All]" dimensionUniqueName="[Manufacturing]" displayFolder="" count="0" memberValueDatatype="5" unbalanced="0"/>
    <cacheHierarchy uniqueName="[Manufacturing].[Efficiency (%)]" caption="Efficiency (%)" attribute="1" defaultMemberUniqueName="[Manufacturing].[Efficiency (%)].[All]" allUniqueName="[Manufacturing].[Efficiency (%)].[All]" dimensionUniqueName="[Manufacturing]" displayFolder="" count="0" memberValueDatatype="5" unbalanced="0"/>
    <cacheHierarchy uniqueName="[Manufacturing].[Supervisor]" caption="Supervisor" attribute="1" defaultMemberUniqueName="[Manufacturing].[Supervisor].[All]" allUniqueName="[Manufacturing].[Supervisor].[All]" dimensionUniqueName="[Manufacturing]" displayFolder="" count="0" memberValueDatatype="130" unbalanced="0"/>
    <cacheHierarchy uniqueName="[Manufacturing].[Production Date (Year)]" caption="Production Date (Year)" attribute="1" defaultMemberUniqueName="[Manufacturing].[Production Date (Year)].[All]" allUniqueName="[Manufacturing].[Production Date (Year)].[All]" dimensionUniqueName="[Manufacturing]" displayFolder="" count="0" memberValueDatatype="130" unbalanced="0"/>
    <cacheHierarchy uniqueName="[Manufacturing].[Production Date (Quarter)]" caption="Production Date (Quarter)" attribute="1" defaultMemberUniqueName="[Manufacturing].[Production Date (Quarter)].[All]" allUniqueName="[Manufacturing].[Production Date (Quarter)].[All]" dimensionUniqueName="[Manufacturing]" displayFolder="" count="0" memberValueDatatype="130" unbalanced="0"/>
    <cacheHierarchy uniqueName="[Manufacturing].[Production Date (Month)]" caption="Production Date (Month)" attribute="1" defaultMemberUniqueName="[Manufacturing].[Production Date (Month)].[All]" allUniqueName="[Manufacturing].[Production Date (Month)].[All]" dimensionUniqueName="[Manufacturing]" displayFolder="" count="2" memberValueDatatype="130" unbalanced="0">
      <fieldsUsage count="2">
        <fieldUsage x="-1"/>
        <fieldUsage x="0"/>
      </fieldsUsage>
    </cacheHierarchy>
    <cacheHierarchy uniqueName="[Manufacturing].[Month]" caption="Month" attribute="1" defaultMemberUniqueName="[Manufacturing].[Month].[All]" allUniqueName="[Manufacturing].[Month].[All]" dimensionUniqueName="[Manufacturing]" displayFolder="" count="2" memberValueDatatype="20" unbalanced="0"/>
    <cacheHierarchy uniqueName="[Manufacturing].[Year]" caption="Year" attribute="1" defaultMemberUniqueName="[Manufacturing].[Year].[All]" allUniqueName="[Manufacturing].[Year].[All]" dimensionUniqueName="[Manufacturing]" displayFolder="" count="0" memberValueDatatype="20" unbalanced="0"/>
    <cacheHierarchy uniqueName="[Manufacturing].[Defect Range]" caption="Defect Range" attribute="1" defaultMemberUniqueName="[Manufacturing].[Defect Range].[All]" allUniqueName="[Manufacturing].[Defect Range].[All]" dimensionUniqueName="[Manufacturing]" displayFolder="" count="0" memberValueDatatype="130" unbalanced="0"/>
    <cacheHierarchy uniqueName="[Manufacturing].[Production Date (Month Index)]" caption="Production Date (Month Index)" attribute="1" defaultMemberUniqueName="[Manufacturing].[Production Date (Month Index)].[All]" allUniqueName="[Manufacturing].[Production Date (Month Index)].[All]" dimensionUniqueName="[Manufacturing]" displayFolder="" count="0" memberValueDatatype="20" unbalanced="0" hidden="1"/>
    <cacheHierarchy uniqueName="[Measures].[__XL_Count Manufacturing]" caption="__XL_Count Manufacturing" measure="1" displayFolder="" measureGroup="Manufacturing" count="0" hidden="1"/>
    <cacheHierarchy uniqueName="[Measures].[__No measures defined]" caption="__No measures defined" measure="1" displayFolder="" count="0" hidden="1"/>
    <cacheHierarchy uniqueName="[Measures].[Sum of Quantity Produced]" caption="Sum of Quantity Produced" measure="1" displayFolder="" measureGroup="Manufacturing" count="0" hidden="1">
      <extLst>
        <ext xmlns:x15="http://schemas.microsoft.com/office/spreadsheetml/2010/11/main" uri="{B97F6D7D-B522-45F9-BDA1-12C45D357490}">
          <x15:cacheHierarchy aggregatedColumn="5"/>
        </ext>
      </extLst>
    </cacheHierarchy>
    <cacheHierarchy uniqueName="[Measures].[Sum of Defects]" caption="Sum of Defects" measure="1" displayFolder="" measureGroup="Manufacturing" count="0" hidden="1">
      <extLst>
        <ext xmlns:x15="http://schemas.microsoft.com/office/spreadsheetml/2010/11/main" uri="{B97F6D7D-B522-45F9-BDA1-12C45D357490}">
          <x15:cacheHierarchy aggregatedColumn="6"/>
        </ext>
      </extLst>
    </cacheHierarchy>
    <cacheHierarchy uniqueName="[Measures].[Sum of Production Cost ($)]" caption="Sum of Production Cost ($)" measure="1" displayFolder="" measureGroup="Manufacturing" count="0" hidden="1">
      <extLst>
        <ext xmlns:x15="http://schemas.microsoft.com/office/spreadsheetml/2010/11/main" uri="{B97F6D7D-B522-45F9-BDA1-12C45D357490}">
          <x15:cacheHierarchy aggregatedColumn="8"/>
        </ext>
      </extLst>
    </cacheHierarchy>
    <cacheHierarchy uniqueName="[Measures].[Sum of Sales Revenue ($)]" caption="Sum of Sales Revenue ($)" measure="1" displayFolder="" measureGroup="Manufacturing"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Efficiency (%)]" caption="Sum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Average of Efficiency (%)]" caption="Average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Manufacturing" count="0" hidden="1">
      <extLst>
        <ext xmlns:x15="http://schemas.microsoft.com/office/spreadsheetml/2010/11/main" uri="{B97F6D7D-B522-45F9-BDA1-12C45D357490}">
          <x15:cacheHierarchy aggregatedColumn="2"/>
        </ext>
      </extLst>
    </cacheHierarchy>
    <cacheHierarchy uniqueName="[Measures].[Count of Production Date]" caption="Count of Production Date" measure="1" displayFolder="" measureGroup="Manufacturing" count="0" hidden="1">
      <extLst>
        <ext xmlns:x15="http://schemas.microsoft.com/office/spreadsheetml/2010/11/main" uri="{B97F6D7D-B522-45F9-BDA1-12C45D357490}">
          <x15:cacheHierarchy aggregatedColumn="4"/>
        </ext>
      </extLst>
    </cacheHierarchy>
    <cacheHierarchy uniqueName="[Measures].[Count of Defect Range]" caption="Count of Defect Range" measure="1" displayFolder="" measureGroup="Manufacturing" count="0" hidden="1">
      <extLst>
        <ext xmlns:x15="http://schemas.microsoft.com/office/spreadsheetml/2010/11/main" uri="{B97F6D7D-B522-45F9-BDA1-12C45D357490}">
          <x15:cacheHierarchy aggregatedColumn="17"/>
        </ext>
      </extLst>
    </cacheHierarchy>
    <cacheHierarchy uniqueName="[Measures].[Sum of Downtime (Hours)]" caption="Sum of Downtime (Hours)" measure="1" displayFolder="" measureGroup="Manufacturing" count="0" hidden="1">
      <extLst>
        <ext xmlns:x15="http://schemas.microsoft.com/office/spreadsheetml/2010/11/main" uri="{B97F6D7D-B522-45F9-BDA1-12C45D357490}">
          <x15:cacheHierarchy aggregatedColumn="7"/>
        </ext>
      </extLst>
    </cacheHierarchy>
  </cacheHierarchies>
  <kpis count="0"/>
  <dimensions count="2">
    <dimension name="Manufacturing" uniqueName="[Manufacturing]" caption="Manufacturing"/>
    <dimension measure="1" name="Measures" uniqueName="[Measures]" caption="Measures"/>
  </dimensions>
  <measureGroups count="1">
    <measureGroup name="Manufacturing" caption="Manufactur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73.448642824071" backgroundQuery="1" createdVersion="8" refreshedVersion="8" minRefreshableVersion="3" recordCount="0" supportSubquery="1" supportAdvancedDrill="1" xr:uid="{EF761F4A-676B-42DC-8804-15C22C9BBFD1}">
  <cacheSource type="external" connectionId="1"/>
  <cacheFields count="4">
    <cacheField name="[Manufacturing].[Product].[Product]" caption="Product" numFmtId="0" hierarchy="1" level="1">
      <sharedItems count="5">
        <s v="Gadget X"/>
        <s v="Gadget Y"/>
        <s v="Tool Z"/>
        <s v="Widget A"/>
        <s v="Widget B"/>
      </sharedItems>
    </cacheField>
    <cacheField name="[Measures].[Sum of Production Cost ($)]" caption="Sum of Production Cost ($)" numFmtId="0" hierarchy="23" level="32767"/>
    <cacheField name="[Measures].[Sum of Sales Revenue ($)]" caption="Sum of Sales Revenue ($)" numFmtId="0" hierarchy="24" level="32767"/>
    <cacheField name="[Manufacturing].[Manufacturing Plant].[Manufacturing Plant]" caption="Manufacturing Plant" numFmtId="0" hierarchy="3" level="1">
      <sharedItems containsSemiMixedTypes="0" containsNonDate="0" containsString="0"/>
    </cacheField>
  </cacheFields>
  <cacheHierarchies count="31">
    <cacheHierarchy uniqueName="[Manufacturing].[Order ID]" caption="Order ID" attribute="1" defaultMemberUniqueName="[Manufacturing].[Order ID].[All]" allUniqueName="[Manufacturing].[Order ID].[All]" dimensionUniqueName="[Manufacturing]" displayFolder="" count="0" memberValueDatatype="130" unbalanced="0"/>
    <cacheHierarchy uniqueName="[Manufacturing].[Product]" caption="Product" attribute="1" defaultMemberUniqueName="[Manufacturing].[Product].[All]" allUniqueName="[Manufacturing].[Product].[All]" dimensionUniqueName="[Manufacturing]" displayFolder="" count="2" memberValueDatatype="130" unbalanced="0">
      <fieldsUsage count="2">
        <fieldUsage x="-1"/>
        <fieldUsage x="0"/>
      </fieldsUsage>
    </cacheHierarchy>
    <cacheHierarchy uniqueName="[Manufacturing].[Category]" caption="Category" attribute="1" defaultMemberUniqueName="[Manufacturing].[Category].[All]" allUniqueName="[Manufacturing].[Category].[All]" dimensionUniqueName="[Manufacturing]" displayFolder="" count="2" memberValueDatatype="130" unbalanced="0"/>
    <cacheHierarchy uniqueName="[Manufacturing].[Manufacturing Plant]" caption="Manufacturing Plant" attribute="1" defaultMemberUniqueName="[Manufacturing].[Manufacturing Plant].[All]" allUniqueName="[Manufacturing].[Manufacturing Plant].[All]" dimensionUniqueName="[Manufacturing]" displayFolder="" count="2" memberValueDatatype="130" unbalanced="0">
      <fieldsUsage count="2">
        <fieldUsage x="-1"/>
        <fieldUsage x="3"/>
      </fieldsUsage>
    </cacheHierarchy>
    <cacheHierarchy uniqueName="[Manufacturing].[Production Date]" caption="Production Date" attribute="1" time="1" defaultMemberUniqueName="[Manufacturing].[Production Date].[All]" allUniqueName="[Manufacturing].[Production Date].[All]" dimensionUniqueName="[Manufacturing]" displayFolder="" count="0" memberValueDatatype="7" unbalanced="0"/>
    <cacheHierarchy uniqueName="[Manufacturing].[Quantity Produced]" caption="Quantity Produced" attribute="1" defaultMemberUniqueName="[Manufacturing].[Quantity Produced].[All]" allUniqueName="[Manufacturing].[Quantity Produced].[All]" dimensionUniqueName="[Manufacturing]" displayFolder="" count="0" memberValueDatatype="20" unbalanced="0"/>
    <cacheHierarchy uniqueName="[Manufacturing].[Defects]" caption="Defects" attribute="1" defaultMemberUniqueName="[Manufacturing].[Defects].[All]" allUniqueName="[Manufacturing].[Defects].[All]" dimensionUniqueName="[Manufacturing]" displayFolder="" count="0" memberValueDatatype="20" unbalanced="0"/>
    <cacheHierarchy uniqueName="[Manufacturing].[Downtime (Hours)]" caption="Downtime (Hours)" attribute="1" defaultMemberUniqueName="[Manufacturing].[Downtime (Hours)].[All]" allUniqueName="[Manufacturing].[Downtime (Hours)].[All]" dimensionUniqueName="[Manufacturing]" displayFolder="" count="0" memberValueDatatype="5" unbalanced="0"/>
    <cacheHierarchy uniqueName="[Manufacturing].[Production Cost ($)]" caption="Production Cost ($)" attribute="1" defaultMemberUniqueName="[Manufacturing].[Production Cost ($)].[All]" allUniqueName="[Manufacturing].[Production Cost ($)].[All]" dimensionUniqueName="[Manufacturing]" displayFolder="" count="0" memberValueDatatype="5" unbalanced="0"/>
    <cacheHierarchy uniqueName="[Manufacturing].[Sales Revenue ($)]" caption="Sales Revenue ($)" attribute="1" defaultMemberUniqueName="[Manufacturing].[Sales Revenue ($)].[All]" allUniqueName="[Manufacturing].[Sales Revenue ($)].[All]" dimensionUniqueName="[Manufacturing]" displayFolder="" count="0" memberValueDatatype="5" unbalanced="0"/>
    <cacheHierarchy uniqueName="[Manufacturing].[Efficiency (%)]" caption="Efficiency (%)" attribute="1" defaultMemberUniqueName="[Manufacturing].[Efficiency (%)].[All]" allUniqueName="[Manufacturing].[Efficiency (%)].[All]" dimensionUniqueName="[Manufacturing]" displayFolder="" count="0" memberValueDatatype="5" unbalanced="0"/>
    <cacheHierarchy uniqueName="[Manufacturing].[Supervisor]" caption="Supervisor" attribute="1" defaultMemberUniqueName="[Manufacturing].[Supervisor].[All]" allUniqueName="[Manufacturing].[Supervisor].[All]" dimensionUniqueName="[Manufacturing]" displayFolder="" count="0" memberValueDatatype="130" unbalanced="0"/>
    <cacheHierarchy uniqueName="[Manufacturing].[Production Date (Year)]" caption="Production Date (Year)" attribute="1" defaultMemberUniqueName="[Manufacturing].[Production Date (Year)].[All]" allUniqueName="[Manufacturing].[Production Date (Year)].[All]" dimensionUniqueName="[Manufacturing]" displayFolder="" count="0" memberValueDatatype="130" unbalanced="0"/>
    <cacheHierarchy uniqueName="[Manufacturing].[Production Date (Quarter)]" caption="Production Date (Quarter)" attribute="1" defaultMemberUniqueName="[Manufacturing].[Production Date (Quarter)].[All]" allUniqueName="[Manufacturing].[Production Date (Quarter)].[All]" dimensionUniqueName="[Manufacturing]" displayFolder="" count="0" memberValueDatatype="130" unbalanced="0"/>
    <cacheHierarchy uniqueName="[Manufacturing].[Production Date (Month)]" caption="Production Date (Month)" attribute="1" defaultMemberUniqueName="[Manufacturing].[Production Date (Month)].[All]" allUniqueName="[Manufacturing].[Production Date (Month)].[All]" dimensionUniqueName="[Manufacturing]" displayFolder="" count="0" memberValueDatatype="130" unbalanced="0"/>
    <cacheHierarchy uniqueName="[Manufacturing].[Month]" caption="Month" attribute="1" defaultMemberUniqueName="[Manufacturing].[Month].[All]" allUniqueName="[Manufacturing].[Month].[All]" dimensionUniqueName="[Manufacturing]" displayFolder="" count="2" memberValueDatatype="20" unbalanced="0"/>
    <cacheHierarchy uniqueName="[Manufacturing].[Year]" caption="Year" attribute="1" defaultMemberUniqueName="[Manufacturing].[Year].[All]" allUniqueName="[Manufacturing].[Year].[All]" dimensionUniqueName="[Manufacturing]" displayFolder="" count="0" memberValueDatatype="20" unbalanced="0"/>
    <cacheHierarchy uniqueName="[Manufacturing].[Defect Range]" caption="Defect Range" attribute="1" defaultMemberUniqueName="[Manufacturing].[Defect Range].[All]" allUniqueName="[Manufacturing].[Defect Range].[All]" dimensionUniqueName="[Manufacturing]" displayFolder="" count="0" memberValueDatatype="130" unbalanced="0"/>
    <cacheHierarchy uniqueName="[Manufacturing].[Production Date (Month Index)]" caption="Production Date (Month Index)" attribute="1" defaultMemberUniqueName="[Manufacturing].[Production Date (Month Index)].[All]" allUniqueName="[Manufacturing].[Production Date (Month Index)].[All]" dimensionUniqueName="[Manufacturing]" displayFolder="" count="0" memberValueDatatype="20" unbalanced="0" hidden="1"/>
    <cacheHierarchy uniqueName="[Measures].[__XL_Count Manufacturing]" caption="__XL_Count Manufacturing" measure="1" displayFolder="" measureGroup="Manufacturing" count="0" hidden="1"/>
    <cacheHierarchy uniqueName="[Measures].[__No measures defined]" caption="__No measures defined" measure="1" displayFolder="" count="0" hidden="1"/>
    <cacheHierarchy uniqueName="[Measures].[Sum of Quantity Produced]" caption="Sum of Quantity Produced" measure="1" displayFolder="" measureGroup="Manufacturing" count="0" hidden="1">
      <extLst>
        <ext xmlns:x15="http://schemas.microsoft.com/office/spreadsheetml/2010/11/main" uri="{B97F6D7D-B522-45F9-BDA1-12C45D357490}">
          <x15:cacheHierarchy aggregatedColumn="5"/>
        </ext>
      </extLst>
    </cacheHierarchy>
    <cacheHierarchy uniqueName="[Measures].[Sum of Defects]" caption="Sum of Defects" measure="1" displayFolder="" measureGroup="Manufacturing" count="0" hidden="1">
      <extLst>
        <ext xmlns:x15="http://schemas.microsoft.com/office/spreadsheetml/2010/11/main" uri="{B97F6D7D-B522-45F9-BDA1-12C45D357490}">
          <x15:cacheHierarchy aggregatedColumn="6"/>
        </ext>
      </extLst>
    </cacheHierarchy>
    <cacheHierarchy uniqueName="[Measures].[Sum of Production Cost ($)]" caption="Sum of Production Cost ($)" measure="1" displayFolder="" measureGroup="Manufacturing"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Sales Revenue ($)]" caption="Sum of Sales Revenue ($)" measure="1" displayFolder="" measureGroup="Manufacturing"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Efficiency (%)]" caption="Sum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Average of Efficiency (%)]" caption="Average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Manufacturing" count="0" hidden="1">
      <extLst>
        <ext xmlns:x15="http://schemas.microsoft.com/office/spreadsheetml/2010/11/main" uri="{B97F6D7D-B522-45F9-BDA1-12C45D357490}">
          <x15:cacheHierarchy aggregatedColumn="2"/>
        </ext>
      </extLst>
    </cacheHierarchy>
    <cacheHierarchy uniqueName="[Measures].[Count of Production Date]" caption="Count of Production Date" measure="1" displayFolder="" measureGroup="Manufacturing" count="0" hidden="1">
      <extLst>
        <ext xmlns:x15="http://schemas.microsoft.com/office/spreadsheetml/2010/11/main" uri="{B97F6D7D-B522-45F9-BDA1-12C45D357490}">
          <x15:cacheHierarchy aggregatedColumn="4"/>
        </ext>
      </extLst>
    </cacheHierarchy>
    <cacheHierarchy uniqueName="[Measures].[Count of Defect Range]" caption="Count of Defect Range" measure="1" displayFolder="" measureGroup="Manufacturing" count="0" hidden="1">
      <extLst>
        <ext xmlns:x15="http://schemas.microsoft.com/office/spreadsheetml/2010/11/main" uri="{B97F6D7D-B522-45F9-BDA1-12C45D357490}">
          <x15:cacheHierarchy aggregatedColumn="17"/>
        </ext>
      </extLst>
    </cacheHierarchy>
    <cacheHierarchy uniqueName="[Measures].[Sum of Downtime (Hours)]" caption="Sum of Downtime (Hours)" measure="1" displayFolder="" measureGroup="Manufacturing" count="0" hidden="1">
      <extLst>
        <ext xmlns:x15="http://schemas.microsoft.com/office/spreadsheetml/2010/11/main" uri="{B97F6D7D-B522-45F9-BDA1-12C45D357490}">
          <x15:cacheHierarchy aggregatedColumn="7"/>
        </ext>
      </extLst>
    </cacheHierarchy>
  </cacheHierarchies>
  <kpis count="0"/>
  <dimensions count="2">
    <dimension name="Manufacturing" uniqueName="[Manufacturing]" caption="Manufacturing"/>
    <dimension measure="1" name="Measures" uniqueName="[Measures]" caption="Measures"/>
  </dimensions>
  <measureGroups count="1">
    <measureGroup name="Manufacturing" caption="Manufactur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73.448644560187" backgroundQuery="1" createdVersion="8" refreshedVersion="8" minRefreshableVersion="3" recordCount="0" supportSubquery="1" supportAdvancedDrill="1" xr:uid="{23D93E89-B984-42A6-8578-57D4732E08AE}">
  <cacheSource type="external" connectionId="1"/>
  <cacheFields count="2">
    <cacheField name="[Measures].[Sum of Defects]" caption="Sum of Defects" numFmtId="0" hierarchy="22" level="32767"/>
    <cacheField name="[Manufacturing].[Manufacturing Plant].[Manufacturing Plant]" caption="Manufacturing Plant" numFmtId="0" hierarchy="3" level="1">
      <sharedItems containsSemiMixedTypes="0" containsNonDate="0" containsString="0"/>
    </cacheField>
  </cacheFields>
  <cacheHierarchies count="31">
    <cacheHierarchy uniqueName="[Manufacturing].[Order ID]" caption="Order ID" attribute="1" defaultMemberUniqueName="[Manufacturing].[Order ID].[All]" allUniqueName="[Manufacturing].[Order ID].[All]" dimensionUniqueName="[Manufacturing]" displayFolder="" count="0" memberValueDatatype="130" unbalanced="0"/>
    <cacheHierarchy uniqueName="[Manufacturing].[Product]" caption="Product" attribute="1" defaultMemberUniqueName="[Manufacturing].[Product].[All]" allUniqueName="[Manufacturing].[Product].[All]" dimensionUniqueName="[Manufacturing]" displayFolder="" count="0" memberValueDatatype="130" unbalanced="0"/>
    <cacheHierarchy uniqueName="[Manufacturing].[Category]" caption="Category" attribute="1" defaultMemberUniqueName="[Manufacturing].[Category].[All]" allUniqueName="[Manufacturing].[Category].[All]" dimensionUniqueName="[Manufacturing]" displayFolder="" count="2" memberValueDatatype="130" unbalanced="0"/>
    <cacheHierarchy uniqueName="[Manufacturing].[Manufacturing Plant]" caption="Manufacturing Plant" attribute="1" defaultMemberUniqueName="[Manufacturing].[Manufacturing Plant].[All]" allUniqueName="[Manufacturing].[Manufacturing Plant].[All]" dimensionUniqueName="[Manufacturing]" displayFolder="" count="2" memberValueDatatype="130" unbalanced="0">
      <fieldsUsage count="2">
        <fieldUsage x="-1"/>
        <fieldUsage x="1"/>
      </fieldsUsage>
    </cacheHierarchy>
    <cacheHierarchy uniqueName="[Manufacturing].[Production Date]" caption="Production Date" attribute="1" time="1" defaultMemberUniqueName="[Manufacturing].[Production Date].[All]" allUniqueName="[Manufacturing].[Production Date].[All]" dimensionUniqueName="[Manufacturing]" displayFolder="" count="0" memberValueDatatype="7" unbalanced="0"/>
    <cacheHierarchy uniqueName="[Manufacturing].[Quantity Produced]" caption="Quantity Produced" attribute="1" defaultMemberUniqueName="[Manufacturing].[Quantity Produced].[All]" allUniqueName="[Manufacturing].[Quantity Produced].[All]" dimensionUniqueName="[Manufacturing]" displayFolder="" count="0" memberValueDatatype="20" unbalanced="0"/>
    <cacheHierarchy uniqueName="[Manufacturing].[Defects]" caption="Defects" attribute="1" defaultMemberUniqueName="[Manufacturing].[Defects].[All]" allUniqueName="[Manufacturing].[Defects].[All]" dimensionUniqueName="[Manufacturing]" displayFolder="" count="0" memberValueDatatype="20" unbalanced="0"/>
    <cacheHierarchy uniqueName="[Manufacturing].[Downtime (Hours)]" caption="Downtime (Hours)" attribute="1" defaultMemberUniqueName="[Manufacturing].[Downtime (Hours)].[All]" allUniqueName="[Manufacturing].[Downtime (Hours)].[All]" dimensionUniqueName="[Manufacturing]" displayFolder="" count="0" memberValueDatatype="5" unbalanced="0"/>
    <cacheHierarchy uniqueName="[Manufacturing].[Production Cost ($)]" caption="Production Cost ($)" attribute="1" defaultMemberUniqueName="[Manufacturing].[Production Cost ($)].[All]" allUniqueName="[Manufacturing].[Production Cost ($)].[All]" dimensionUniqueName="[Manufacturing]" displayFolder="" count="0" memberValueDatatype="5" unbalanced="0"/>
    <cacheHierarchy uniqueName="[Manufacturing].[Sales Revenue ($)]" caption="Sales Revenue ($)" attribute="1" defaultMemberUniqueName="[Manufacturing].[Sales Revenue ($)].[All]" allUniqueName="[Manufacturing].[Sales Revenue ($)].[All]" dimensionUniqueName="[Manufacturing]" displayFolder="" count="0" memberValueDatatype="5" unbalanced="0"/>
    <cacheHierarchy uniqueName="[Manufacturing].[Efficiency (%)]" caption="Efficiency (%)" attribute="1" defaultMemberUniqueName="[Manufacturing].[Efficiency (%)].[All]" allUniqueName="[Manufacturing].[Efficiency (%)].[All]" dimensionUniqueName="[Manufacturing]" displayFolder="" count="0" memberValueDatatype="5" unbalanced="0"/>
    <cacheHierarchy uniqueName="[Manufacturing].[Supervisor]" caption="Supervisor" attribute="1" defaultMemberUniqueName="[Manufacturing].[Supervisor].[All]" allUniqueName="[Manufacturing].[Supervisor].[All]" dimensionUniqueName="[Manufacturing]" displayFolder="" count="0" memberValueDatatype="130" unbalanced="0"/>
    <cacheHierarchy uniqueName="[Manufacturing].[Production Date (Year)]" caption="Production Date (Year)" attribute="1" defaultMemberUniqueName="[Manufacturing].[Production Date (Year)].[All]" allUniqueName="[Manufacturing].[Production Date (Year)].[All]" dimensionUniqueName="[Manufacturing]" displayFolder="" count="0" memberValueDatatype="130" unbalanced="0"/>
    <cacheHierarchy uniqueName="[Manufacturing].[Production Date (Quarter)]" caption="Production Date (Quarter)" attribute="1" defaultMemberUniqueName="[Manufacturing].[Production Date (Quarter)].[All]" allUniqueName="[Manufacturing].[Production Date (Quarter)].[All]" dimensionUniqueName="[Manufacturing]" displayFolder="" count="0" memberValueDatatype="130" unbalanced="0"/>
    <cacheHierarchy uniqueName="[Manufacturing].[Production Date (Month)]" caption="Production Date (Month)" attribute="1" defaultMemberUniqueName="[Manufacturing].[Production Date (Month)].[All]" allUniqueName="[Manufacturing].[Production Date (Month)].[All]" dimensionUniqueName="[Manufacturing]" displayFolder="" count="0" memberValueDatatype="130" unbalanced="0"/>
    <cacheHierarchy uniqueName="[Manufacturing].[Month]" caption="Month" attribute="1" defaultMemberUniqueName="[Manufacturing].[Month].[All]" allUniqueName="[Manufacturing].[Month].[All]" dimensionUniqueName="[Manufacturing]" displayFolder="" count="2" memberValueDatatype="20" unbalanced="0"/>
    <cacheHierarchy uniqueName="[Manufacturing].[Year]" caption="Year" attribute="1" defaultMemberUniqueName="[Manufacturing].[Year].[All]" allUniqueName="[Manufacturing].[Year].[All]" dimensionUniqueName="[Manufacturing]" displayFolder="" count="0" memberValueDatatype="20" unbalanced="0"/>
    <cacheHierarchy uniqueName="[Manufacturing].[Defect Range]" caption="Defect Range" attribute="1" defaultMemberUniqueName="[Manufacturing].[Defect Range].[All]" allUniqueName="[Manufacturing].[Defect Range].[All]" dimensionUniqueName="[Manufacturing]" displayFolder="" count="0" memberValueDatatype="130" unbalanced="0"/>
    <cacheHierarchy uniqueName="[Manufacturing].[Production Date (Month Index)]" caption="Production Date (Month Index)" attribute="1" defaultMemberUniqueName="[Manufacturing].[Production Date (Month Index)].[All]" allUniqueName="[Manufacturing].[Production Date (Month Index)].[All]" dimensionUniqueName="[Manufacturing]" displayFolder="" count="0" memberValueDatatype="20" unbalanced="0" hidden="1"/>
    <cacheHierarchy uniqueName="[Measures].[__XL_Count Manufacturing]" caption="__XL_Count Manufacturing" measure="1" displayFolder="" measureGroup="Manufacturing" count="0" hidden="1"/>
    <cacheHierarchy uniqueName="[Measures].[__No measures defined]" caption="__No measures defined" measure="1" displayFolder="" count="0" hidden="1"/>
    <cacheHierarchy uniqueName="[Measures].[Sum of Quantity Produced]" caption="Sum of Quantity Produced" measure="1" displayFolder="" measureGroup="Manufacturing" count="0" hidden="1">
      <extLst>
        <ext xmlns:x15="http://schemas.microsoft.com/office/spreadsheetml/2010/11/main" uri="{B97F6D7D-B522-45F9-BDA1-12C45D357490}">
          <x15:cacheHierarchy aggregatedColumn="5"/>
        </ext>
      </extLst>
    </cacheHierarchy>
    <cacheHierarchy uniqueName="[Measures].[Sum of Defects]" caption="Sum of Defects" measure="1" displayFolder="" measureGroup="Manufacturing"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Production Cost ($)]" caption="Sum of Production Cost ($)" measure="1" displayFolder="" measureGroup="Manufacturing" count="0" hidden="1">
      <extLst>
        <ext xmlns:x15="http://schemas.microsoft.com/office/spreadsheetml/2010/11/main" uri="{B97F6D7D-B522-45F9-BDA1-12C45D357490}">
          <x15:cacheHierarchy aggregatedColumn="8"/>
        </ext>
      </extLst>
    </cacheHierarchy>
    <cacheHierarchy uniqueName="[Measures].[Sum of Sales Revenue ($)]" caption="Sum of Sales Revenue ($)" measure="1" displayFolder="" measureGroup="Manufacturing" count="0" hidden="1">
      <extLst>
        <ext xmlns:x15="http://schemas.microsoft.com/office/spreadsheetml/2010/11/main" uri="{B97F6D7D-B522-45F9-BDA1-12C45D357490}">
          <x15:cacheHierarchy aggregatedColumn="9"/>
        </ext>
      </extLst>
    </cacheHierarchy>
    <cacheHierarchy uniqueName="[Measures].[Sum of Efficiency (%)]" caption="Sum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Average of Efficiency (%)]" caption="Average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Manufacturing" count="0" hidden="1">
      <extLst>
        <ext xmlns:x15="http://schemas.microsoft.com/office/spreadsheetml/2010/11/main" uri="{B97F6D7D-B522-45F9-BDA1-12C45D357490}">
          <x15:cacheHierarchy aggregatedColumn="2"/>
        </ext>
      </extLst>
    </cacheHierarchy>
    <cacheHierarchy uniqueName="[Measures].[Count of Production Date]" caption="Count of Production Date" measure="1" displayFolder="" measureGroup="Manufacturing" count="0" hidden="1">
      <extLst>
        <ext xmlns:x15="http://schemas.microsoft.com/office/spreadsheetml/2010/11/main" uri="{B97F6D7D-B522-45F9-BDA1-12C45D357490}">
          <x15:cacheHierarchy aggregatedColumn="4"/>
        </ext>
      </extLst>
    </cacheHierarchy>
    <cacheHierarchy uniqueName="[Measures].[Count of Defect Range]" caption="Count of Defect Range" measure="1" displayFolder="" measureGroup="Manufacturing" count="0" hidden="1">
      <extLst>
        <ext xmlns:x15="http://schemas.microsoft.com/office/spreadsheetml/2010/11/main" uri="{B97F6D7D-B522-45F9-BDA1-12C45D357490}">
          <x15:cacheHierarchy aggregatedColumn="17"/>
        </ext>
      </extLst>
    </cacheHierarchy>
    <cacheHierarchy uniqueName="[Measures].[Sum of Downtime (Hours)]" caption="Sum of Downtime (Hours)" measure="1" displayFolder="" measureGroup="Manufacturing" count="0" hidden="1">
      <extLst>
        <ext xmlns:x15="http://schemas.microsoft.com/office/spreadsheetml/2010/11/main" uri="{B97F6D7D-B522-45F9-BDA1-12C45D357490}">
          <x15:cacheHierarchy aggregatedColumn="7"/>
        </ext>
      </extLst>
    </cacheHierarchy>
  </cacheHierarchies>
  <kpis count="0"/>
  <dimensions count="2">
    <dimension name="Manufacturing" uniqueName="[Manufacturing]" caption="Manufacturing"/>
    <dimension measure="1" name="Measures" uniqueName="[Measures]" caption="Measures"/>
  </dimensions>
  <measureGroups count="1">
    <measureGroup name="Manufacturing" caption="Manufactur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73.448646412035" backgroundQuery="1" createdVersion="8" refreshedVersion="8" minRefreshableVersion="3" recordCount="0" supportSubquery="1" supportAdvancedDrill="1" xr:uid="{646D13CB-2649-4349-97AA-963F446185F4}">
  <cacheSource type="external" connectionId="1"/>
  <cacheFields count="2">
    <cacheField name="[Measures].[Sum of Production Cost ($)]" caption="Sum of Production Cost ($)" numFmtId="0" hierarchy="23" level="32767"/>
    <cacheField name="[Manufacturing].[Manufacturing Plant].[Manufacturing Plant]" caption="Manufacturing Plant" numFmtId="0" hierarchy="3" level="1">
      <sharedItems containsSemiMixedTypes="0" containsNonDate="0" containsString="0"/>
    </cacheField>
  </cacheFields>
  <cacheHierarchies count="31">
    <cacheHierarchy uniqueName="[Manufacturing].[Order ID]" caption="Order ID" attribute="1" defaultMemberUniqueName="[Manufacturing].[Order ID].[All]" allUniqueName="[Manufacturing].[Order ID].[All]" dimensionUniqueName="[Manufacturing]" displayFolder="" count="0" memberValueDatatype="130" unbalanced="0"/>
    <cacheHierarchy uniqueName="[Manufacturing].[Product]" caption="Product" attribute="1" defaultMemberUniqueName="[Manufacturing].[Product].[All]" allUniqueName="[Manufacturing].[Product].[All]" dimensionUniqueName="[Manufacturing]" displayFolder="" count="0" memberValueDatatype="130" unbalanced="0"/>
    <cacheHierarchy uniqueName="[Manufacturing].[Category]" caption="Category" attribute="1" defaultMemberUniqueName="[Manufacturing].[Category].[All]" allUniqueName="[Manufacturing].[Category].[All]" dimensionUniqueName="[Manufacturing]" displayFolder="" count="2" memberValueDatatype="130" unbalanced="0"/>
    <cacheHierarchy uniqueName="[Manufacturing].[Manufacturing Plant]" caption="Manufacturing Plant" attribute="1" defaultMemberUniqueName="[Manufacturing].[Manufacturing Plant].[All]" allUniqueName="[Manufacturing].[Manufacturing Plant].[All]" dimensionUniqueName="[Manufacturing]" displayFolder="" count="2" memberValueDatatype="130" unbalanced="0">
      <fieldsUsage count="2">
        <fieldUsage x="-1"/>
        <fieldUsage x="1"/>
      </fieldsUsage>
    </cacheHierarchy>
    <cacheHierarchy uniqueName="[Manufacturing].[Production Date]" caption="Production Date" attribute="1" time="1" defaultMemberUniqueName="[Manufacturing].[Production Date].[All]" allUniqueName="[Manufacturing].[Production Date].[All]" dimensionUniqueName="[Manufacturing]" displayFolder="" count="0" memberValueDatatype="7" unbalanced="0"/>
    <cacheHierarchy uniqueName="[Manufacturing].[Quantity Produced]" caption="Quantity Produced" attribute="1" defaultMemberUniqueName="[Manufacturing].[Quantity Produced].[All]" allUniqueName="[Manufacturing].[Quantity Produced].[All]" dimensionUniqueName="[Manufacturing]" displayFolder="" count="0" memberValueDatatype="20" unbalanced="0"/>
    <cacheHierarchy uniqueName="[Manufacturing].[Defects]" caption="Defects" attribute="1" defaultMemberUniqueName="[Manufacturing].[Defects].[All]" allUniqueName="[Manufacturing].[Defects].[All]" dimensionUniqueName="[Manufacturing]" displayFolder="" count="0" memberValueDatatype="20" unbalanced="0"/>
    <cacheHierarchy uniqueName="[Manufacturing].[Downtime (Hours)]" caption="Downtime (Hours)" attribute="1" defaultMemberUniqueName="[Manufacturing].[Downtime (Hours)].[All]" allUniqueName="[Manufacturing].[Downtime (Hours)].[All]" dimensionUniqueName="[Manufacturing]" displayFolder="" count="0" memberValueDatatype="5" unbalanced="0"/>
    <cacheHierarchy uniqueName="[Manufacturing].[Production Cost ($)]" caption="Production Cost ($)" attribute="1" defaultMemberUniqueName="[Manufacturing].[Production Cost ($)].[All]" allUniqueName="[Manufacturing].[Production Cost ($)].[All]" dimensionUniqueName="[Manufacturing]" displayFolder="" count="0" memberValueDatatype="5" unbalanced="0"/>
    <cacheHierarchy uniqueName="[Manufacturing].[Sales Revenue ($)]" caption="Sales Revenue ($)" attribute="1" defaultMemberUniqueName="[Manufacturing].[Sales Revenue ($)].[All]" allUniqueName="[Manufacturing].[Sales Revenue ($)].[All]" dimensionUniqueName="[Manufacturing]" displayFolder="" count="0" memberValueDatatype="5" unbalanced="0"/>
    <cacheHierarchy uniqueName="[Manufacturing].[Efficiency (%)]" caption="Efficiency (%)" attribute="1" defaultMemberUniqueName="[Manufacturing].[Efficiency (%)].[All]" allUniqueName="[Manufacturing].[Efficiency (%)].[All]" dimensionUniqueName="[Manufacturing]" displayFolder="" count="0" memberValueDatatype="5" unbalanced="0"/>
    <cacheHierarchy uniqueName="[Manufacturing].[Supervisor]" caption="Supervisor" attribute="1" defaultMemberUniqueName="[Manufacturing].[Supervisor].[All]" allUniqueName="[Manufacturing].[Supervisor].[All]" dimensionUniqueName="[Manufacturing]" displayFolder="" count="0" memberValueDatatype="130" unbalanced="0"/>
    <cacheHierarchy uniqueName="[Manufacturing].[Production Date (Year)]" caption="Production Date (Year)" attribute="1" defaultMemberUniqueName="[Manufacturing].[Production Date (Year)].[All]" allUniqueName="[Manufacturing].[Production Date (Year)].[All]" dimensionUniqueName="[Manufacturing]" displayFolder="" count="0" memberValueDatatype="130" unbalanced="0"/>
    <cacheHierarchy uniqueName="[Manufacturing].[Production Date (Quarter)]" caption="Production Date (Quarter)" attribute="1" defaultMemberUniqueName="[Manufacturing].[Production Date (Quarter)].[All]" allUniqueName="[Manufacturing].[Production Date (Quarter)].[All]" dimensionUniqueName="[Manufacturing]" displayFolder="" count="0" memberValueDatatype="130" unbalanced="0"/>
    <cacheHierarchy uniqueName="[Manufacturing].[Production Date (Month)]" caption="Production Date (Month)" attribute="1" defaultMemberUniqueName="[Manufacturing].[Production Date (Month)].[All]" allUniqueName="[Manufacturing].[Production Date (Month)].[All]" dimensionUniqueName="[Manufacturing]" displayFolder="" count="0" memberValueDatatype="130" unbalanced="0"/>
    <cacheHierarchy uniqueName="[Manufacturing].[Month]" caption="Month" attribute="1" defaultMemberUniqueName="[Manufacturing].[Month].[All]" allUniqueName="[Manufacturing].[Month].[All]" dimensionUniqueName="[Manufacturing]" displayFolder="" count="2" memberValueDatatype="20" unbalanced="0"/>
    <cacheHierarchy uniqueName="[Manufacturing].[Year]" caption="Year" attribute="1" defaultMemberUniqueName="[Manufacturing].[Year].[All]" allUniqueName="[Manufacturing].[Year].[All]" dimensionUniqueName="[Manufacturing]" displayFolder="" count="0" memberValueDatatype="20" unbalanced="0"/>
    <cacheHierarchy uniqueName="[Manufacturing].[Defect Range]" caption="Defect Range" attribute="1" defaultMemberUniqueName="[Manufacturing].[Defect Range].[All]" allUniqueName="[Manufacturing].[Defect Range].[All]" dimensionUniqueName="[Manufacturing]" displayFolder="" count="0" memberValueDatatype="130" unbalanced="0"/>
    <cacheHierarchy uniqueName="[Manufacturing].[Production Date (Month Index)]" caption="Production Date (Month Index)" attribute="1" defaultMemberUniqueName="[Manufacturing].[Production Date (Month Index)].[All]" allUniqueName="[Manufacturing].[Production Date (Month Index)].[All]" dimensionUniqueName="[Manufacturing]" displayFolder="" count="0" memberValueDatatype="20" unbalanced="0" hidden="1"/>
    <cacheHierarchy uniqueName="[Measures].[__XL_Count Manufacturing]" caption="__XL_Count Manufacturing" measure="1" displayFolder="" measureGroup="Manufacturing" count="0" hidden="1"/>
    <cacheHierarchy uniqueName="[Measures].[__No measures defined]" caption="__No measures defined" measure="1" displayFolder="" count="0" hidden="1"/>
    <cacheHierarchy uniqueName="[Measures].[Sum of Quantity Produced]" caption="Sum of Quantity Produced" measure="1" displayFolder="" measureGroup="Manufacturing" count="0" hidden="1">
      <extLst>
        <ext xmlns:x15="http://schemas.microsoft.com/office/spreadsheetml/2010/11/main" uri="{B97F6D7D-B522-45F9-BDA1-12C45D357490}">
          <x15:cacheHierarchy aggregatedColumn="5"/>
        </ext>
      </extLst>
    </cacheHierarchy>
    <cacheHierarchy uniqueName="[Measures].[Sum of Defects]" caption="Sum of Defects" measure="1" displayFolder="" measureGroup="Manufacturing" count="0" hidden="1">
      <extLst>
        <ext xmlns:x15="http://schemas.microsoft.com/office/spreadsheetml/2010/11/main" uri="{B97F6D7D-B522-45F9-BDA1-12C45D357490}">
          <x15:cacheHierarchy aggregatedColumn="6"/>
        </ext>
      </extLst>
    </cacheHierarchy>
    <cacheHierarchy uniqueName="[Measures].[Sum of Production Cost ($)]" caption="Sum of Production Cost ($)" measure="1" displayFolder="" measureGroup="Manufacturing"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Sales Revenue ($)]" caption="Sum of Sales Revenue ($)" measure="1" displayFolder="" measureGroup="Manufacturing" count="0" hidden="1">
      <extLst>
        <ext xmlns:x15="http://schemas.microsoft.com/office/spreadsheetml/2010/11/main" uri="{B97F6D7D-B522-45F9-BDA1-12C45D357490}">
          <x15:cacheHierarchy aggregatedColumn="9"/>
        </ext>
      </extLst>
    </cacheHierarchy>
    <cacheHierarchy uniqueName="[Measures].[Sum of Efficiency (%)]" caption="Sum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Average of Efficiency (%)]" caption="Average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Manufacturing" count="0" hidden="1">
      <extLst>
        <ext xmlns:x15="http://schemas.microsoft.com/office/spreadsheetml/2010/11/main" uri="{B97F6D7D-B522-45F9-BDA1-12C45D357490}">
          <x15:cacheHierarchy aggregatedColumn="2"/>
        </ext>
      </extLst>
    </cacheHierarchy>
    <cacheHierarchy uniqueName="[Measures].[Count of Production Date]" caption="Count of Production Date" measure="1" displayFolder="" measureGroup="Manufacturing" count="0" hidden="1">
      <extLst>
        <ext xmlns:x15="http://schemas.microsoft.com/office/spreadsheetml/2010/11/main" uri="{B97F6D7D-B522-45F9-BDA1-12C45D357490}">
          <x15:cacheHierarchy aggregatedColumn="4"/>
        </ext>
      </extLst>
    </cacheHierarchy>
    <cacheHierarchy uniqueName="[Measures].[Count of Defect Range]" caption="Count of Defect Range" measure="1" displayFolder="" measureGroup="Manufacturing" count="0" hidden="1">
      <extLst>
        <ext xmlns:x15="http://schemas.microsoft.com/office/spreadsheetml/2010/11/main" uri="{B97F6D7D-B522-45F9-BDA1-12C45D357490}">
          <x15:cacheHierarchy aggregatedColumn="17"/>
        </ext>
      </extLst>
    </cacheHierarchy>
    <cacheHierarchy uniqueName="[Measures].[Sum of Downtime (Hours)]" caption="Sum of Downtime (Hours)" measure="1" displayFolder="" measureGroup="Manufacturing" count="0" hidden="1">
      <extLst>
        <ext xmlns:x15="http://schemas.microsoft.com/office/spreadsheetml/2010/11/main" uri="{B97F6D7D-B522-45F9-BDA1-12C45D357490}">
          <x15:cacheHierarchy aggregatedColumn="7"/>
        </ext>
      </extLst>
    </cacheHierarchy>
  </cacheHierarchies>
  <kpis count="0"/>
  <dimensions count="2">
    <dimension name="Manufacturing" uniqueName="[Manufacturing]" caption="Manufacturing"/>
    <dimension measure="1" name="Measures" uniqueName="[Measures]" caption="Measures"/>
  </dimensions>
  <measureGroups count="1">
    <measureGroup name="Manufacturing" caption="Manufactur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73.448648263889" backgroundQuery="1" createdVersion="8" refreshedVersion="8" minRefreshableVersion="3" recordCount="0" supportSubquery="1" supportAdvancedDrill="1" xr:uid="{E918DA40-FB06-4CFC-BBB2-CBBFDE2590EF}">
  <cacheSource type="external" connectionId="1"/>
  <cacheFields count="2">
    <cacheField name="[Measures].[Sum of Quantity Produced]" caption="Sum of Quantity Produced" numFmtId="0" hierarchy="21" level="32767"/>
    <cacheField name="[Manufacturing].[Manufacturing Plant].[Manufacturing Plant]" caption="Manufacturing Plant" numFmtId="0" hierarchy="3" level="1">
      <sharedItems count="3">
        <s v="Plant A"/>
        <s v="Plant B"/>
        <s v="Plant C"/>
      </sharedItems>
    </cacheField>
  </cacheFields>
  <cacheHierarchies count="31">
    <cacheHierarchy uniqueName="[Manufacturing].[Order ID]" caption="Order ID" attribute="1" defaultMemberUniqueName="[Manufacturing].[Order ID].[All]" allUniqueName="[Manufacturing].[Order ID].[All]" dimensionUniqueName="[Manufacturing]" displayFolder="" count="0" memberValueDatatype="130" unbalanced="0"/>
    <cacheHierarchy uniqueName="[Manufacturing].[Product]" caption="Product" attribute="1" defaultMemberUniqueName="[Manufacturing].[Product].[All]" allUniqueName="[Manufacturing].[Product].[All]" dimensionUniqueName="[Manufacturing]" displayFolder="" count="0" memberValueDatatype="130" unbalanced="0"/>
    <cacheHierarchy uniqueName="[Manufacturing].[Category]" caption="Category" attribute="1" defaultMemberUniqueName="[Manufacturing].[Category].[All]" allUniqueName="[Manufacturing].[Category].[All]" dimensionUniqueName="[Manufacturing]" displayFolder="" count="2" memberValueDatatype="130" unbalanced="0"/>
    <cacheHierarchy uniqueName="[Manufacturing].[Manufacturing Plant]" caption="Manufacturing Plant" attribute="1" defaultMemberUniqueName="[Manufacturing].[Manufacturing Plant].[All]" allUniqueName="[Manufacturing].[Manufacturing Plant].[All]" dimensionUniqueName="[Manufacturing]" displayFolder="" count="2" memberValueDatatype="130" unbalanced="0">
      <fieldsUsage count="2">
        <fieldUsage x="-1"/>
        <fieldUsage x="1"/>
      </fieldsUsage>
    </cacheHierarchy>
    <cacheHierarchy uniqueName="[Manufacturing].[Production Date]" caption="Production Date" attribute="1" time="1" defaultMemberUniqueName="[Manufacturing].[Production Date].[All]" allUniqueName="[Manufacturing].[Production Date].[All]" dimensionUniqueName="[Manufacturing]" displayFolder="" count="0" memberValueDatatype="7" unbalanced="0"/>
    <cacheHierarchy uniqueName="[Manufacturing].[Quantity Produced]" caption="Quantity Produced" attribute="1" defaultMemberUniqueName="[Manufacturing].[Quantity Produced].[All]" allUniqueName="[Manufacturing].[Quantity Produced].[All]" dimensionUniqueName="[Manufacturing]" displayFolder="" count="0" memberValueDatatype="20" unbalanced="0"/>
    <cacheHierarchy uniqueName="[Manufacturing].[Defects]" caption="Defects" attribute="1" defaultMemberUniqueName="[Manufacturing].[Defects].[All]" allUniqueName="[Manufacturing].[Defects].[All]" dimensionUniqueName="[Manufacturing]" displayFolder="" count="0" memberValueDatatype="20" unbalanced="0"/>
    <cacheHierarchy uniqueName="[Manufacturing].[Downtime (Hours)]" caption="Downtime (Hours)" attribute="1" defaultMemberUniqueName="[Manufacturing].[Downtime (Hours)].[All]" allUniqueName="[Manufacturing].[Downtime (Hours)].[All]" dimensionUniqueName="[Manufacturing]" displayFolder="" count="0" memberValueDatatype="5" unbalanced="0"/>
    <cacheHierarchy uniqueName="[Manufacturing].[Production Cost ($)]" caption="Production Cost ($)" attribute="1" defaultMemberUniqueName="[Manufacturing].[Production Cost ($)].[All]" allUniqueName="[Manufacturing].[Production Cost ($)].[All]" dimensionUniqueName="[Manufacturing]" displayFolder="" count="0" memberValueDatatype="5" unbalanced="0"/>
    <cacheHierarchy uniqueName="[Manufacturing].[Sales Revenue ($)]" caption="Sales Revenue ($)" attribute="1" defaultMemberUniqueName="[Manufacturing].[Sales Revenue ($)].[All]" allUniqueName="[Manufacturing].[Sales Revenue ($)].[All]" dimensionUniqueName="[Manufacturing]" displayFolder="" count="0" memberValueDatatype="5" unbalanced="0"/>
    <cacheHierarchy uniqueName="[Manufacturing].[Efficiency (%)]" caption="Efficiency (%)" attribute="1" defaultMemberUniqueName="[Manufacturing].[Efficiency (%)].[All]" allUniqueName="[Manufacturing].[Efficiency (%)].[All]" dimensionUniqueName="[Manufacturing]" displayFolder="" count="0" memberValueDatatype="5" unbalanced="0"/>
    <cacheHierarchy uniqueName="[Manufacturing].[Supervisor]" caption="Supervisor" attribute="1" defaultMemberUniqueName="[Manufacturing].[Supervisor].[All]" allUniqueName="[Manufacturing].[Supervisor].[All]" dimensionUniqueName="[Manufacturing]" displayFolder="" count="0" memberValueDatatype="130" unbalanced="0"/>
    <cacheHierarchy uniqueName="[Manufacturing].[Production Date (Year)]" caption="Production Date (Year)" attribute="1" defaultMemberUniqueName="[Manufacturing].[Production Date (Year)].[All]" allUniqueName="[Manufacturing].[Production Date (Year)].[All]" dimensionUniqueName="[Manufacturing]" displayFolder="" count="0" memberValueDatatype="130" unbalanced="0"/>
    <cacheHierarchy uniqueName="[Manufacturing].[Production Date (Quarter)]" caption="Production Date (Quarter)" attribute="1" defaultMemberUniqueName="[Manufacturing].[Production Date (Quarter)].[All]" allUniqueName="[Manufacturing].[Production Date (Quarter)].[All]" dimensionUniqueName="[Manufacturing]" displayFolder="" count="0" memberValueDatatype="130" unbalanced="0"/>
    <cacheHierarchy uniqueName="[Manufacturing].[Production Date (Month)]" caption="Production Date (Month)" attribute="1" defaultMemberUniqueName="[Manufacturing].[Production Date (Month)].[All]" allUniqueName="[Manufacturing].[Production Date (Month)].[All]" dimensionUniqueName="[Manufacturing]" displayFolder="" count="0" memberValueDatatype="130" unbalanced="0"/>
    <cacheHierarchy uniqueName="[Manufacturing].[Month]" caption="Month" attribute="1" defaultMemberUniqueName="[Manufacturing].[Month].[All]" allUniqueName="[Manufacturing].[Month].[All]" dimensionUniqueName="[Manufacturing]" displayFolder="" count="2" memberValueDatatype="20" unbalanced="0"/>
    <cacheHierarchy uniqueName="[Manufacturing].[Year]" caption="Year" attribute="1" defaultMemberUniqueName="[Manufacturing].[Year].[All]" allUniqueName="[Manufacturing].[Year].[All]" dimensionUniqueName="[Manufacturing]" displayFolder="" count="0" memberValueDatatype="20" unbalanced="0"/>
    <cacheHierarchy uniqueName="[Manufacturing].[Defect Range]" caption="Defect Range" attribute="1" defaultMemberUniqueName="[Manufacturing].[Defect Range].[All]" allUniqueName="[Manufacturing].[Defect Range].[All]" dimensionUniqueName="[Manufacturing]" displayFolder="" count="0" memberValueDatatype="130" unbalanced="0"/>
    <cacheHierarchy uniqueName="[Manufacturing].[Production Date (Month Index)]" caption="Production Date (Month Index)" attribute="1" defaultMemberUniqueName="[Manufacturing].[Production Date (Month Index)].[All]" allUniqueName="[Manufacturing].[Production Date (Month Index)].[All]" dimensionUniqueName="[Manufacturing]" displayFolder="" count="0" memberValueDatatype="20" unbalanced="0" hidden="1"/>
    <cacheHierarchy uniqueName="[Measures].[__XL_Count Manufacturing]" caption="__XL_Count Manufacturing" measure="1" displayFolder="" measureGroup="Manufacturing" count="0" hidden="1"/>
    <cacheHierarchy uniqueName="[Measures].[__No measures defined]" caption="__No measures defined" measure="1" displayFolder="" count="0" hidden="1"/>
    <cacheHierarchy uniqueName="[Measures].[Sum of Quantity Produced]" caption="Sum of Quantity Produced" measure="1" displayFolder="" measureGroup="Manufacturing"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Defects]" caption="Sum of Defects" measure="1" displayFolder="" measureGroup="Manufacturing" count="0" hidden="1">
      <extLst>
        <ext xmlns:x15="http://schemas.microsoft.com/office/spreadsheetml/2010/11/main" uri="{B97F6D7D-B522-45F9-BDA1-12C45D357490}">
          <x15:cacheHierarchy aggregatedColumn="6"/>
        </ext>
      </extLst>
    </cacheHierarchy>
    <cacheHierarchy uniqueName="[Measures].[Sum of Production Cost ($)]" caption="Sum of Production Cost ($)" measure="1" displayFolder="" measureGroup="Manufacturing" count="0" hidden="1">
      <extLst>
        <ext xmlns:x15="http://schemas.microsoft.com/office/spreadsheetml/2010/11/main" uri="{B97F6D7D-B522-45F9-BDA1-12C45D357490}">
          <x15:cacheHierarchy aggregatedColumn="8"/>
        </ext>
      </extLst>
    </cacheHierarchy>
    <cacheHierarchy uniqueName="[Measures].[Sum of Sales Revenue ($)]" caption="Sum of Sales Revenue ($)" measure="1" displayFolder="" measureGroup="Manufacturing" count="0" hidden="1">
      <extLst>
        <ext xmlns:x15="http://schemas.microsoft.com/office/spreadsheetml/2010/11/main" uri="{B97F6D7D-B522-45F9-BDA1-12C45D357490}">
          <x15:cacheHierarchy aggregatedColumn="9"/>
        </ext>
      </extLst>
    </cacheHierarchy>
    <cacheHierarchy uniqueName="[Measures].[Sum of Efficiency (%)]" caption="Sum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Average of Efficiency (%)]" caption="Average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Manufacturing" count="0" hidden="1">
      <extLst>
        <ext xmlns:x15="http://schemas.microsoft.com/office/spreadsheetml/2010/11/main" uri="{B97F6D7D-B522-45F9-BDA1-12C45D357490}">
          <x15:cacheHierarchy aggregatedColumn="2"/>
        </ext>
      </extLst>
    </cacheHierarchy>
    <cacheHierarchy uniqueName="[Measures].[Count of Production Date]" caption="Count of Production Date" measure="1" displayFolder="" measureGroup="Manufacturing" count="0" hidden="1">
      <extLst>
        <ext xmlns:x15="http://schemas.microsoft.com/office/spreadsheetml/2010/11/main" uri="{B97F6D7D-B522-45F9-BDA1-12C45D357490}">
          <x15:cacheHierarchy aggregatedColumn="4"/>
        </ext>
      </extLst>
    </cacheHierarchy>
    <cacheHierarchy uniqueName="[Measures].[Count of Defect Range]" caption="Count of Defect Range" measure="1" displayFolder="" measureGroup="Manufacturing" count="0" hidden="1">
      <extLst>
        <ext xmlns:x15="http://schemas.microsoft.com/office/spreadsheetml/2010/11/main" uri="{B97F6D7D-B522-45F9-BDA1-12C45D357490}">
          <x15:cacheHierarchy aggregatedColumn="17"/>
        </ext>
      </extLst>
    </cacheHierarchy>
    <cacheHierarchy uniqueName="[Measures].[Sum of Downtime (Hours)]" caption="Sum of Downtime (Hours)" measure="1" displayFolder="" measureGroup="Manufacturing" count="0" hidden="1">
      <extLst>
        <ext xmlns:x15="http://schemas.microsoft.com/office/spreadsheetml/2010/11/main" uri="{B97F6D7D-B522-45F9-BDA1-12C45D357490}">
          <x15:cacheHierarchy aggregatedColumn="7"/>
        </ext>
      </extLst>
    </cacheHierarchy>
  </cacheHierarchies>
  <kpis count="0"/>
  <dimensions count="2">
    <dimension name="Manufacturing" uniqueName="[Manufacturing]" caption="Manufacturing"/>
    <dimension measure="1" name="Measures" uniqueName="[Measures]" caption="Measures"/>
  </dimensions>
  <measureGroups count="1">
    <measureGroup name="Manufacturing" caption="Manufactur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73.448650578706" backgroundQuery="1" createdVersion="8" refreshedVersion="8" minRefreshableVersion="3" recordCount="0" supportSubquery="1" supportAdvancedDrill="1" xr:uid="{292F5E9E-8BD3-408E-86DD-D435CE882FD5}">
  <cacheSource type="external" connectionId="1"/>
  <cacheFields count="3">
    <cacheField name="[Manufacturing].[Product].[Product]" caption="Product" numFmtId="0" hierarchy="1" level="1">
      <sharedItems count="5">
        <s v="Gadget X"/>
        <s v="Gadget Y"/>
        <s v="Tool Z"/>
        <s v="Widget A"/>
        <s v="Widget B"/>
      </sharedItems>
    </cacheField>
    <cacheField name="[Measures].[Sum of Quantity Produced]" caption="Sum of Quantity Produced" numFmtId="0" hierarchy="21" level="32767"/>
    <cacheField name="[Manufacturing].[Manufacturing Plant].[Manufacturing Plant]" caption="Manufacturing Plant" numFmtId="0" hierarchy="3" level="1">
      <sharedItems containsSemiMixedTypes="0" containsNonDate="0" containsString="0"/>
    </cacheField>
  </cacheFields>
  <cacheHierarchies count="31">
    <cacheHierarchy uniqueName="[Manufacturing].[Order ID]" caption="Order ID" attribute="1" defaultMemberUniqueName="[Manufacturing].[Order ID].[All]" allUniqueName="[Manufacturing].[Order ID].[All]" dimensionUniqueName="[Manufacturing]" displayFolder="" count="0" memberValueDatatype="130" unbalanced="0"/>
    <cacheHierarchy uniqueName="[Manufacturing].[Product]" caption="Product" attribute="1" defaultMemberUniqueName="[Manufacturing].[Product].[All]" allUniqueName="[Manufacturing].[Product].[All]" dimensionUniqueName="[Manufacturing]" displayFolder="" count="2" memberValueDatatype="130" unbalanced="0">
      <fieldsUsage count="2">
        <fieldUsage x="-1"/>
        <fieldUsage x="0"/>
      </fieldsUsage>
    </cacheHierarchy>
    <cacheHierarchy uniqueName="[Manufacturing].[Category]" caption="Category" attribute="1" defaultMemberUniqueName="[Manufacturing].[Category].[All]" allUniqueName="[Manufacturing].[Category].[All]" dimensionUniqueName="[Manufacturing]" displayFolder="" count="2" memberValueDatatype="130" unbalanced="0"/>
    <cacheHierarchy uniqueName="[Manufacturing].[Manufacturing Plant]" caption="Manufacturing Plant" attribute="1" defaultMemberUniqueName="[Manufacturing].[Manufacturing Plant].[All]" allUniqueName="[Manufacturing].[Manufacturing Plant].[All]" dimensionUniqueName="[Manufacturing]" displayFolder="" count="2" memberValueDatatype="130" unbalanced="0">
      <fieldsUsage count="2">
        <fieldUsage x="-1"/>
        <fieldUsage x="2"/>
      </fieldsUsage>
    </cacheHierarchy>
    <cacheHierarchy uniqueName="[Manufacturing].[Production Date]" caption="Production Date" attribute="1" time="1" defaultMemberUniqueName="[Manufacturing].[Production Date].[All]" allUniqueName="[Manufacturing].[Production Date].[All]" dimensionUniqueName="[Manufacturing]" displayFolder="" count="0" memberValueDatatype="7" unbalanced="0"/>
    <cacheHierarchy uniqueName="[Manufacturing].[Quantity Produced]" caption="Quantity Produced" attribute="1" defaultMemberUniqueName="[Manufacturing].[Quantity Produced].[All]" allUniqueName="[Manufacturing].[Quantity Produced].[All]" dimensionUniqueName="[Manufacturing]" displayFolder="" count="0" memberValueDatatype="20" unbalanced="0"/>
    <cacheHierarchy uniqueName="[Manufacturing].[Defects]" caption="Defects" attribute="1" defaultMemberUniqueName="[Manufacturing].[Defects].[All]" allUniqueName="[Manufacturing].[Defects].[All]" dimensionUniqueName="[Manufacturing]" displayFolder="" count="0" memberValueDatatype="20" unbalanced="0"/>
    <cacheHierarchy uniqueName="[Manufacturing].[Downtime (Hours)]" caption="Downtime (Hours)" attribute="1" defaultMemberUniqueName="[Manufacturing].[Downtime (Hours)].[All]" allUniqueName="[Manufacturing].[Downtime (Hours)].[All]" dimensionUniqueName="[Manufacturing]" displayFolder="" count="0" memberValueDatatype="5" unbalanced="0"/>
    <cacheHierarchy uniqueName="[Manufacturing].[Production Cost ($)]" caption="Production Cost ($)" attribute="1" defaultMemberUniqueName="[Manufacturing].[Production Cost ($)].[All]" allUniqueName="[Manufacturing].[Production Cost ($)].[All]" dimensionUniqueName="[Manufacturing]" displayFolder="" count="0" memberValueDatatype="5" unbalanced="0"/>
    <cacheHierarchy uniqueName="[Manufacturing].[Sales Revenue ($)]" caption="Sales Revenue ($)" attribute="1" defaultMemberUniqueName="[Manufacturing].[Sales Revenue ($)].[All]" allUniqueName="[Manufacturing].[Sales Revenue ($)].[All]" dimensionUniqueName="[Manufacturing]" displayFolder="" count="0" memberValueDatatype="5" unbalanced="0"/>
    <cacheHierarchy uniqueName="[Manufacturing].[Efficiency (%)]" caption="Efficiency (%)" attribute="1" defaultMemberUniqueName="[Manufacturing].[Efficiency (%)].[All]" allUniqueName="[Manufacturing].[Efficiency (%)].[All]" dimensionUniqueName="[Manufacturing]" displayFolder="" count="0" memberValueDatatype="5" unbalanced="0"/>
    <cacheHierarchy uniqueName="[Manufacturing].[Supervisor]" caption="Supervisor" attribute="1" defaultMemberUniqueName="[Manufacturing].[Supervisor].[All]" allUniqueName="[Manufacturing].[Supervisor].[All]" dimensionUniqueName="[Manufacturing]" displayFolder="" count="0" memberValueDatatype="130" unbalanced="0"/>
    <cacheHierarchy uniqueName="[Manufacturing].[Production Date (Year)]" caption="Production Date (Year)" attribute="1" defaultMemberUniqueName="[Manufacturing].[Production Date (Year)].[All]" allUniqueName="[Manufacturing].[Production Date (Year)].[All]" dimensionUniqueName="[Manufacturing]" displayFolder="" count="0" memberValueDatatype="130" unbalanced="0"/>
    <cacheHierarchy uniqueName="[Manufacturing].[Production Date (Quarter)]" caption="Production Date (Quarter)" attribute="1" defaultMemberUniqueName="[Manufacturing].[Production Date (Quarter)].[All]" allUniqueName="[Manufacturing].[Production Date (Quarter)].[All]" dimensionUniqueName="[Manufacturing]" displayFolder="" count="0" memberValueDatatype="130" unbalanced="0"/>
    <cacheHierarchy uniqueName="[Manufacturing].[Production Date (Month)]" caption="Production Date (Month)" attribute="1" defaultMemberUniqueName="[Manufacturing].[Production Date (Month)].[All]" allUniqueName="[Manufacturing].[Production Date (Month)].[All]" dimensionUniqueName="[Manufacturing]" displayFolder="" count="0" memberValueDatatype="130" unbalanced="0"/>
    <cacheHierarchy uniqueName="[Manufacturing].[Month]" caption="Month" attribute="1" defaultMemberUniqueName="[Manufacturing].[Month].[All]" allUniqueName="[Manufacturing].[Month].[All]" dimensionUniqueName="[Manufacturing]" displayFolder="" count="2" memberValueDatatype="20" unbalanced="0"/>
    <cacheHierarchy uniqueName="[Manufacturing].[Year]" caption="Year" attribute="1" defaultMemberUniqueName="[Manufacturing].[Year].[All]" allUniqueName="[Manufacturing].[Year].[All]" dimensionUniqueName="[Manufacturing]" displayFolder="" count="0" memberValueDatatype="20" unbalanced="0"/>
    <cacheHierarchy uniqueName="[Manufacturing].[Defect Range]" caption="Defect Range" attribute="1" defaultMemberUniqueName="[Manufacturing].[Defect Range].[All]" allUniqueName="[Manufacturing].[Defect Range].[All]" dimensionUniqueName="[Manufacturing]" displayFolder="" count="0" memberValueDatatype="130" unbalanced="0"/>
    <cacheHierarchy uniqueName="[Manufacturing].[Production Date (Month Index)]" caption="Production Date (Month Index)" attribute="1" defaultMemberUniqueName="[Manufacturing].[Production Date (Month Index)].[All]" allUniqueName="[Manufacturing].[Production Date (Month Index)].[All]" dimensionUniqueName="[Manufacturing]" displayFolder="" count="0" memberValueDatatype="20" unbalanced="0" hidden="1"/>
    <cacheHierarchy uniqueName="[Measures].[__XL_Count Manufacturing]" caption="__XL_Count Manufacturing" measure="1" displayFolder="" measureGroup="Manufacturing" count="0" hidden="1"/>
    <cacheHierarchy uniqueName="[Measures].[__No measures defined]" caption="__No measures defined" measure="1" displayFolder="" count="0" hidden="1"/>
    <cacheHierarchy uniqueName="[Measures].[Sum of Quantity Produced]" caption="Sum of Quantity Produced" measure="1" displayFolder="" measureGroup="Manufacturing"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Defects]" caption="Sum of Defects" measure="1" displayFolder="" measureGroup="Manufacturing" count="0" hidden="1">
      <extLst>
        <ext xmlns:x15="http://schemas.microsoft.com/office/spreadsheetml/2010/11/main" uri="{B97F6D7D-B522-45F9-BDA1-12C45D357490}">
          <x15:cacheHierarchy aggregatedColumn="6"/>
        </ext>
      </extLst>
    </cacheHierarchy>
    <cacheHierarchy uniqueName="[Measures].[Sum of Production Cost ($)]" caption="Sum of Production Cost ($)" measure="1" displayFolder="" measureGroup="Manufacturing" count="0" hidden="1">
      <extLst>
        <ext xmlns:x15="http://schemas.microsoft.com/office/spreadsheetml/2010/11/main" uri="{B97F6D7D-B522-45F9-BDA1-12C45D357490}">
          <x15:cacheHierarchy aggregatedColumn="8"/>
        </ext>
      </extLst>
    </cacheHierarchy>
    <cacheHierarchy uniqueName="[Measures].[Sum of Sales Revenue ($)]" caption="Sum of Sales Revenue ($)" measure="1" displayFolder="" measureGroup="Manufacturing" count="0" hidden="1">
      <extLst>
        <ext xmlns:x15="http://schemas.microsoft.com/office/spreadsheetml/2010/11/main" uri="{B97F6D7D-B522-45F9-BDA1-12C45D357490}">
          <x15:cacheHierarchy aggregatedColumn="9"/>
        </ext>
      </extLst>
    </cacheHierarchy>
    <cacheHierarchy uniqueName="[Measures].[Sum of Efficiency (%)]" caption="Sum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Average of Efficiency (%)]" caption="Average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Manufacturing" count="0" hidden="1">
      <extLst>
        <ext xmlns:x15="http://schemas.microsoft.com/office/spreadsheetml/2010/11/main" uri="{B97F6D7D-B522-45F9-BDA1-12C45D357490}">
          <x15:cacheHierarchy aggregatedColumn="2"/>
        </ext>
      </extLst>
    </cacheHierarchy>
    <cacheHierarchy uniqueName="[Measures].[Count of Production Date]" caption="Count of Production Date" measure="1" displayFolder="" measureGroup="Manufacturing" count="0" hidden="1">
      <extLst>
        <ext xmlns:x15="http://schemas.microsoft.com/office/spreadsheetml/2010/11/main" uri="{B97F6D7D-B522-45F9-BDA1-12C45D357490}">
          <x15:cacheHierarchy aggregatedColumn="4"/>
        </ext>
      </extLst>
    </cacheHierarchy>
    <cacheHierarchy uniqueName="[Measures].[Count of Defect Range]" caption="Count of Defect Range" measure="1" displayFolder="" measureGroup="Manufacturing" count="0" hidden="1">
      <extLst>
        <ext xmlns:x15="http://schemas.microsoft.com/office/spreadsheetml/2010/11/main" uri="{B97F6D7D-B522-45F9-BDA1-12C45D357490}">
          <x15:cacheHierarchy aggregatedColumn="17"/>
        </ext>
      </extLst>
    </cacheHierarchy>
    <cacheHierarchy uniqueName="[Measures].[Sum of Downtime (Hours)]" caption="Sum of Downtime (Hours)" measure="1" displayFolder="" measureGroup="Manufacturing" count="0" hidden="1">
      <extLst>
        <ext xmlns:x15="http://schemas.microsoft.com/office/spreadsheetml/2010/11/main" uri="{B97F6D7D-B522-45F9-BDA1-12C45D357490}">
          <x15:cacheHierarchy aggregatedColumn="7"/>
        </ext>
      </extLst>
    </cacheHierarchy>
  </cacheHierarchies>
  <kpis count="0"/>
  <dimensions count="2">
    <dimension name="Manufacturing" uniqueName="[Manufacturing]" caption="Manufacturing"/>
    <dimension measure="1" name="Measures" uniqueName="[Measures]" caption="Measures"/>
  </dimensions>
  <measureGroups count="1">
    <measureGroup name="Manufacturing" caption="Manufactur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73.448652430554" backgroundQuery="1" createdVersion="8" refreshedVersion="8" minRefreshableVersion="3" recordCount="0" supportSubquery="1" supportAdvancedDrill="1" xr:uid="{B305C834-4625-4155-A49C-14B113FEF84D}">
  <cacheSource type="external" connectionId="1"/>
  <cacheFields count="3">
    <cacheField name="[Measures].[Sum of Quantity Produced]" caption="Sum of Quantity Produced" numFmtId="0" hierarchy="21" level="32767"/>
    <cacheField name="[Manufacturing].[Production Date (Month)].[Production Date (Month)]" caption="Production Date (Month)" numFmtId="0" hierarchy="14" level="1">
      <sharedItems count="12">
        <s v="Jan"/>
        <s v="Feb"/>
        <s v="Mar"/>
        <s v="Apr"/>
        <s v="May"/>
        <s v="Jun"/>
        <s v="Jul"/>
        <s v="Aug"/>
        <s v="Sep"/>
        <s v="Oct"/>
        <s v="Nov"/>
        <s v="Dec"/>
      </sharedItems>
    </cacheField>
    <cacheField name="[Manufacturing].[Manufacturing Plant].[Manufacturing Plant]" caption="Manufacturing Plant" numFmtId="0" hierarchy="3" level="1">
      <sharedItems containsSemiMixedTypes="0" containsNonDate="0" containsString="0"/>
    </cacheField>
  </cacheFields>
  <cacheHierarchies count="31">
    <cacheHierarchy uniqueName="[Manufacturing].[Order ID]" caption="Order ID" attribute="1" defaultMemberUniqueName="[Manufacturing].[Order ID].[All]" allUniqueName="[Manufacturing].[Order ID].[All]" dimensionUniqueName="[Manufacturing]" displayFolder="" count="0" memberValueDatatype="130" unbalanced="0"/>
    <cacheHierarchy uniqueName="[Manufacturing].[Product]" caption="Product" attribute="1" defaultMemberUniqueName="[Manufacturing].[Product].[All]" allUniqueName="[Manufacturing].[Product].[All]" dimensionUniqueName="[Manufacturing]" displayFolder="" count="0" memberValueDatatype="130" unbalanced="0"/>
    <cacheHierarchy uniqueName="[Manufacturing].[Category]" caption="Category" attribute="1" defaultMemberUniqueName="[Manufacturing].[Category].[All]" allUniqueName="[Manufacturing].[Category].[All]" dimensionUniqueName="[Manufacturing]" displayFolder="" count="2" memberValueDatatype="130" unbalanced="0"/>
    <cacheHierarchy uniqueName="[Manufacturing].[Manufacturing Plant]" caption="Manufacturing Plant" attribute="1" defaultMemberUniqueName="[Manufacturing].[Manufacturing Plant].[All]" allUniqueName="[Manufacturing].[Manufacturing Plant].[All]" dimensionUniqueName="[Manufacturing]" displayFolder="" count="2" memberValueDatatype="130" unbalanced="0">
      <fieldsUsage count="2">
        <fieldUsage x="-1"/>
        <fieldUsage x="2"/>
      </fieldsUsage>
    </cacheHierarchy>
    <cacheHierarchy uniqueName="[Manufacturing].[Production Date]" caption="Production Date" attribute="1" time="1" defaultMemberUniqueName="[Manufacturing].[Production Date].[All]" allUniqueName="[Manufacturing].[Production Date].[All]" dimensionUniqueName="[Manufacturing]" displayFolder="" count="0" memberValueDatatype="7" unbalanced="0"/>
    <cacheHierarchy uniqueName="[Manufacturing].[Quantity Produced]" caption="Quantity Produced" attribute="1" defaultMemberUniqueName="[Manufacturing].[Quantity Produced].[All]" allUniqueName="[Manufacturing].[Quantity Produced].[All]" dimensionUniqueName="[Manufacturing]" displayFolder="" count="0" memberValueDatatype="20" unbalanced="0"/>
    <cacheHierarchy uniqueName="[Manufacturing].[Defects]" caption="Defects" attribute="1" defaultMemberUniqueName="[Manufacturing].[Defects].[All]" allUniqueName="[Manufacturing].[Defects].[All]" dimensionUniqueName="[Manufacturing]" displayFolder="" count="0" memberValueDatatype="20" unbalanced="0"/>
    <cacheHierarchy uniqueName="[Manufacturing].[Downtime (Hours)]" caption="Downtime (Hours)" attribute="1" defaultMemberUniqueName="[Manufacturing].[Downtime (Hours)].[All]" allUniqueName="[Manufacturing].[Downtime (Hours)].[All]" dimensionUniqueName="[Manufacturing]" displayFolder="" count="0" memberValueDatatype="5" unbalanced="0"/>
    <cacheHierarchy uniqueName="[Manufacturing].[Production Cost ($)]" caption="Production Cost ($)" attribute="1" defaultMemberUniqueName="[Manufacturing].[Production Cost ($)].[All]" allUniqueName="[Manufacturing].[Production Cost ($)].[All]" dimensionUniqueName="[Manufacturing]" displayFolder="" count="0" memberValueDatatype="5" unbalanced="0"/>
    <cacheHierarchy uniqueName="[Manufacturing].[Sales Revenue ($)]" caption="Sales Revenue ($)" attribute="1" defaultMemberUniqueName="[Manufacturing].[Sales Revenue ($)].[All]" allUniqueName="[Manufacturing].[Sales Revenue ($)].[All]" dimensionUniqueName="[Manufacturing]" displayFolder="" count="0" memberValueDatatype="5" unbalanced="0"/>
    <cacheHierarchy uniqueName="[Manufacturing].[Efficiency (%)]" caption="Efficiency (%)" attribute="1" defaultMemberUniqueName="[Manufacturing].[Efficiency (%)].[All]" allUniqueName="[Manufacturing].[Efficiency (%)].[All]" dimensionUniqueName="[Manufacturing]" displayFolder="" count="0" memberValueDatatype="5" unbalanced="0"/>
    <cacheHierarchy uniqueName="[Manufacturing].[Supervisor]" caption="Supervisor" attribute="1" defaultMemberUniqueName="[Manufacturing].[Supervisor].[All]" allUniqueName="[Manufacturing].[Supervisor].[All]" dimensionUniqueName="[Manufacturing]" displayFolder="" count="0" memberValueDatatype="130" unbalanced="0"/>
    <cacheHierarchy uniqueName="[Manufacturing].[Production Date (Year)]" caption="Production Date (Year)" attribute="1" defaultMemberUniqueName="[Manufacturing].[Production Date (Year)].[All]" allUniqueName="[Manufacturing].[Production Date (Year)].[All]" dimensionUniqueName="[Manufacturing]" displayFolder="" count="0" memberValueDatatype="130" unbalanced="0"/>
    <cacheHierarchy uniqueName="[Manufacturing].[Production Date (Quarter)]" caption="Production Date (Quarter)" attribute="1" defaultMemberUniqueName="[Manufacturing].[Production Date (Quarter)].[All]" allUniqueName="[Manufacturing].[Production Date (Quarter)].[All]" dimensionUniqueName="[Manufacturing]" displayFolder="" count="0" memberValueDatatype="130" unbalanced="0"/>
    <cacheHierarchy uniqueName="[Manufacturing].[Production Date (Month)]" caption="Production Date (Month)" attribute="1" defaultMemberUniqueName="[Manufacturing].[Production Date (Month)].[All]" allUniqueName="[Manufacturing].[Production Date (Month)].[All]" dimensionUniqueName="[Manufacturing]" displayFolder="" count="2" memberValueDatatype="130" unbalanced="0">
      <fieldsUsage count="2">
        <fieldUsage x="-1"/>
        <fieldUsage x="1"/>
      </fieldsUsage>
    </cacheHierarchy>
    <cacheHierarchy uniqueName="[Manufacturing].[Month]" caption="Month" attribute="1" defaultMemberUniqueName="[Manufacturing].[Month].[All]" allUniqueName="[Manufacturing].[Month].[All]" dimensionUniqueName="[Manufacturing]" displayFolder="" count="2" memberValueDatatype="20" unbalanced="0"/>
    <cacheHierarchy uniqueName="[Manufacturing].[Year]" caption="Year" attribute="1" defaultMemberUniqueName="[Manufacturing].[Year].[All]" allUniqueName="[Manufacturing].[Year].[All]" dimensionUniqueName="[Manufacturing]" displayFolder="" count="0" memberValueDatatype="20" unbalanced="0"/>
    <cacheHierarchy uniqueName="[Manufacturing].[Defect Range]" caption="Defect Range" attribute="1" defaultMemberUniqueName="[Manufacturing].[Defect Range].[All]" allUniqueName="[Manufacturing].[Defect Range].[All]" dimensionUniqueName="[Manufacturing]" displayFolder="" count="0" memberValueDatatype="130" unbalanced="0"/>
    <cacheHierarchy uniqueName="[Manufacturing].[Production Date (Month Index)]" caption="Production Date (Month Index)" attribute="1" defaultMemberUniqueName="[Manufacturing].[Production Date (Month Index)].[All]" allUniqueName="[Manufacturing].[Production Date (Month Index)].[All]" dimensionUniqueName="[Manufacturing]" displayFolder="" count="0" memberValueDatatype="20" unbalanced="0" hidden="1"/>
    <cacheHierarchy uniqueName="[Measures].[__XL_Count Manufacturing]" caption="__XL_Count Manufacturing" measure="1" displayFolder="" measureGroup="Manufacturing" count="0" hidden="1"/>
    <cacheHierarchy uniqueName="[Measures].[__No measures defined]" caption="__No measures defined" measure="1" displayFolder="" count="0" hidden="1"/>
    <cacheHierarchy uniqueName="[Measures].[Sum of Quantity Produced]" caption="Sum of Quantity Produced" measure="1" displayFolder="" measureGroup="Manufacturing"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Defects]" caption="Sum of Defects" measure="1" displayFolder="" measureGroup="Manufacturing" count="0" hidden="1">
      <extLst>
        <ext xmlns:x15="http://schemas.microsoft.com/office/spreadsheetml/2010/11/main" uri="{B97F6D7D-B522-45F9-BDA1-12C45D357490}">
          <x15:cacheHierarchy aggregatedColumn="6"/>
        </ext>
      </extLst>
    </cacheHierarchy>
    <cacheHierarchy uniqueName="[Measures].[Sum of Production Cost ($)]" caption="Sum of Production Cost ($)" measure="1" displayFolder="" measureGroup="Manufacturing" count="0" hidden="1">
      <extLst>
        <ext xmlns:x15="http://schemas.microsoft.com/office/spreadsheetml/2010/11/main" uri="{B97F6D7D-B522-45F9-BDA1-12C45D357490}">
          <x15:cacheHierarchy aggregatedColumn="8"/>
        </ext>
      </extLst>
    </cacheHierarchy>
    <cacheHierarchy uniqueName="[Measures].[Sum of Sales Revenue ($)]" caption="Sum of Sales Revenue ($)" measure="1" displayFolder="" measureGroup="Manufacturing" count="0" hidden="1">
      <extLst>
        <ext xmlns:x15="http://schemas.microsoft.com/office/spreadsheetml/2010/11/main" uri="{B97F6D7D-B522-45F9-BDA1-12C45D357490}">
          <x15:cacheHierarchy aggregatedColumn="9"/>
        </ext>
      </extLst>
    </cacheHierarchy>
    <cacheHierarchy uniqueName="[Measures].[Sum of Efficiency (%)]" caption="Sum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Average of Efficiency (%)]" caption="Average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Manufacturing" count="0" hidden="1">
      <extLst>
        <ext xmlns:x15="http://schemas.microsoft.com/office/spreadsheetml/2010/11/main" uri="{B97F6D7D-B522-45F9-BDA1-12C45D357490}">
          <x15:cacheHierarchy aggregatedColumn="2"/>
        </ext>
      </extLst>
    </cacheHierarchy>
    <cacheHierarchy uniqueName="[Measures].[Count of Production Date]" caption="Count of Production Date" measure="1" displayFolder="" measureGroup="Manufacturing" count="0" hidden="1">
      <extLst>
        <ext xmlns:x15="http://schemas.microsoft.com/office/spreadsheetml/2010/11/main" uri="{B97F6D7D-B522-45F9-BDA1-12C45D357490}">
          <x15:cacheHierarchy aggregatedColumn="4"/>
        </ext>
      </extLst>
    </cacheHierarchy>
    <cacheHierarchy uniqueName="[Measures].[Count of Defect Range]" caption="Count of Defect Range" measure="1" displayFolder="" measureGroup="Manufacturing" count="0" hidden="1">
      <extLst>
        <ext xmlns:x15="http://schemas.microsoft.com/office/spreadsheetml/2010/11/main" uri="{B97F6D7D-B522-45F9-BDA1-12C45D357490}">
          <x15:cacheHierarchy aggregatedColumn="17"/>
        </ext>
      </extLst>
    </cacheHierarchy>
    <cacheHierarchy uniqueName="[Measures].[Sum of Downtime (Hours)]" caption="Sum of Downtime (Hours)" measure="1" displayFolder="" measureGroup="Manufacturing" count="0" hidden="1">
      <extLst>
        <ext xmlns:x15="http://schemas.microsoft.com/office/spreadsheetml/2010/11/main" uri="{B97F6D7D-B522-45F9-BDA1-12C45D357490}">
          <x15:cacheHierarchy aggregatedColumn="7"/>
        </ext>
      </extLst>
    </cacheHierarchy>
  </cacheHierarchies>
  <kpis count="0"/>
  <dimensions count="2">
    <dimension name="Manufacturing" uniqueName="[Manufacturing]" caption="Manufacturing"/>
    <dimension measure="1" name="Measures" uniqueName="[Measures]" caption="Measures"/>
  </dimensions>
  <measureGroups count="1">
    <measureGroup name="Manufacturing" caption="Manufactur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73.44865416667" backgroundQuery="1" createdVersion="8" refreshedVersion="8" minRefreshableVersion="3" recordCount="0" supportSubquery="1" supportAdvancedDrill="1" xr:uid="{57C7B021-C053-4F10-B8E4-7A500477D375}">
  <cacheSource type="external" connectionId="1"/>
  <cacheFields count="3">
    <cacheField name="[Manufacturing].[Defect Range].[Defect Range]" caption="Defect Range" numFmtId="0" hierarchy="17" level="1">
      <sharedItems count="6">
        <s v="0-9"/>
        <s v="10-19"/>
        <s v="20-29"/>
        <s v="30-39"/>
        <s v="40-49"/>
        <s v="50+"/>
      </sharedItems>
    </cacheField>
    <cacheField name="[Measures].[Count of Defect Range]" caption="Count of Defect Range" numFmtId="0" hierarchy="29" level="32767"/>
    <cacheField name="[Manufacturing].[Manufacturing Plant].[Manufacturing Plant]" caption="Manufacturing Plant" numFmtId="0" hierarchy="3" level="1">
      <sharedItems containsSemiMixedTypes="0" containsNonDate="0" containsString="0"/>
    </cacheField>
  </cacheFields>
  <cacheHierarchies count="31">
    <cacheHierarchy uniqueName="[Manufacturing].[Order ID]" caption="Order ID" attribute="1" defaultMemberUniqueName="[Manufacturing].[Order ID].[All]" allUniqueName="[Manufacturing].[Order ID].[All]" dimensionUniqueName="[Manufacturing]" displayFolder="" count="0" memberValueDatatype="130" unbalanced="0"/>
    <cacheHierarchy uniqueName="[Manufacturing].[Product]" caption="Product" attribute="1" defaultMemberUniqueName="[Manufacturing].[Product].[All]" allUniqueName="[Manufacturing].[Product].[All]" dimensionUniqueName="[Manufacturing]" displayFolder="" count="0" memberValueDatatype="130" unbalanced="0"/>
    <cacheHierarchy uniqueName="[Manufacturing].[Category]" caption="Category" attribute="1" defaultMemberUniqueName="[Manufacturing].[Category].[All]" allUniqueName="[Manufacturing].[Category].[All]" dimensionUniqueName="[Manufacturing]" displayFolder="" count="2" memberValueDatatype="130" unbalanced="0"/>
    <cacheHierarchy uniqueName="[Manufacturing].[Manufacturing Plant]" caption="Manufacturing Plant" attribute="1" defaultMemberUniqueName="[Manufacturing].[Manufacturing Plant].[All]" allUniqueName="[Manufacturing].[Manufacturing Plant].[All]" dimensionUniqueName="[Manufacturing]" displayFolder="" count="2" memberValueDatatype="130" unbalanced="0">
      <fieldsUsage count="2">
        <fieldUsage x="-1"/>
        <fieldUsage x="2"/>
      </fieldsUsage>
    </cacheHierarchy>
    <cacheHierarchy uniqueName="[Manufacturing].[Production Date]" caption="Production Date" attribute="1" time="1" defaultMemberUniqueName="[Manufacturing].[Production Date].[All]" allUniqueName="[Manufacturing].[Production Date].[All]" dimensionUniqueName="[Manufacturing]" displayFolder="" count="0" memberValueDatatype="7" unbalanced="0"/>
    <cacheHierarchy uniqueName="[Manufacturing].[Quantity Produced]" caption="Quantity Produced" attribute="1" defaultMemberUniqueName="[Manufacturing].[Quantity Produced].[All]" allUniqueName="[Manufacturing].[Quantity Produced].[All]" dimensionUniqueName="[Manufacturing]" displayFolder="" count="0" memberValueDatatype="20" unbalanced="0"/>
    <cacheHierarchy uniqueName="[Manufacturing].[Defects]" caption="Defects" attribute="1" defaultMemberUniqueName="[Manufacturing].[Defects].[All]" allUniqueName="[Manufacturing].[Defects].[All]" dimensionUniqueName="[Manufacturing]" displayFolder="" count="0" memberValueDatatype="20" unbalanced="0"/>
    <cacheHierarchy uniqueName="[Manufacturing].[Downtime (Hours)]" caption="Downtime (Hours)" attribute="1" defaultMemberUniqueName="[Manufacturing].[Downtime (Hours)].[All]" allUniqueName="[Manufacturing].[Downtime (Hours)].[All]" dimensionUniqueName="[Manufacturing]" displayFolder="" count="0" memberValueDatatype="5" unbalanced="0"/>
    <cacheHierarchy uniqueName="[Manufacturing].[Production Cost ($)]" caption="Production Cost ($)" attribute="1" defaultMemberUniqueName="[Manufacturing].[Production Cost ($)].[All]" allUniqueName="[Manufacturing].[Production Cost ($)].[All]" dimensionUniqueName="[Manufacturing]" displayFolder="" count="0" memberValueDatatype="5" unbalanced="0"/>
    <cacheHierarchy uniqueName="[Manufacturing].[Sales Revenue ($)]" caption="Sales Revenue ($)" attribute="1" defaultMemberUniqueName="[Manufacturing].[Sales Revenue ($)].[All]" allUniqueName="[Manufacturing].[Sales Revenue ($)].[All]" dimensionUniqueName="[Manufacturing]" displayFolder="" count="0" memberValueDatatype="5" unbalanced="0"/>
    <cacheHierarchy uniqueName="[Manufacturing].[Efficiency (%)]" caption="Efficiency (%)" attribute="1" defaultMemberUniqueName="[Manufacturing].[Efficiency (%)].[All]" allUniqueName="[Manufacturing].[Efficiency (%)].[All]" dimensionUniqueName="[Manufacturing]" displayFolder="" count="0" memberValueDatatype="5" unbalanced="0"/>
    <cacheHierarchy uniqueName="[Manufacturing].[Supervisor]" caption="Supervisor" attribute="1" defaultMemberUniqueName="[Manufacturing].[Supervisor].[All]" allUniqueName="[Manufacturing].[Supervisor].[All]" dimensionUniqueName="[Manufacturing]" displayFolder="" count="0" memberValueDatatype="130" unbalanced="0"/>
    <cacheHierarchy uniqueName="[Manufacturing].[Production Date (Year)]" caption="Production Date (Year)" attribute="1" defaultMemberUniqueName="[Manufacturing].[Production Date (Year)].[All]" allUniqueName="[Manufacturing].[Production Date (Year)].[All]" dimensionUniqueName="[Manufacturing]" displayFolder="" count="0" memberValueDatatype="130" unbalanced="0"/>
    <cacheHierarchy uniqueName="[Manufacturing].[Production Date (Quarter)]" caption="Production Date (Quarter)" attribute="1" defaultMemberUniqueName="[Manufacturing].[Production Date (Quarter)].[All]" allUniqueName="[Manufacturing].[Production Date (Quarter)].[All]" dimensionUniqueName="[Manufacturing]" displayFolder="" count="0" memberValueDatatype="130" unbalanced="0"/>
    <cacheHierarchy uniqueName="[Manufacturing].[Production Date (Month)]" caption="Production Date (Month)" attribute="1" defaultMemberUniqueName="[Manufacturing].[Production Date (Month)].[All]" allUniqueName="[Manufacturing].[Production Date (Month)].[All]" dimensionUniqueName="[Manufacturing]" displayFolder="" count="0" memberValueDatatype="130" unbalanced="0"/>
    <cacheHierarchy uniqueName="[Manufacturing].[Month]" caption="Month" attribute="1" defaultMemberUniqueName="[Manufacturing].[Month].[All]" allUniqueName="[Manufacturing].[Month].[All]" dimensionUniqueName="[Manufacturing]" displayFolder="" count="2" memberValueDatatype="20" unbalanced="0"/>
    <cacheHierarchy uniqueName="[Manufacturing].[Year]" caption="Year" attribute="1" defaultMemberUniqueName="[Manufacturing].[Year].[All]" allUniqueName="[Manufacturing].[Year].[All]" dimensionUniqueName="[Manufacturing]" displayFolder="" count="0" memberValueDatatype="20" unbalanced="0"/>
    <cacheHierarchy uniqueName="[Manufacturing].[Defect Range]" caption="Defect Range" attribute="1" defaultMemberUniqueName="[Manufacturing].[Defect Range].[All]" allUniqueName="[Manufacturing].[Defect Range].[All]" dimensionUniqueName="[Manufacturing]" displayFolder="" count="2" memberValueDatatype="130" unbalanced="0">
      <fieldsUsage count="2">
        <fieldUsage x="-1"/>
        <fieldUsage x="0"/>
      </fieldsUsage>
    </cacheHierarchy>
    <cacheHierarchy uniqueName="[Manufacturing].[Production Date (Month Index)]" caption="Production Date (Month Index)" attribute="1" defaultMemberUniqueName="[Manufacturing].[Production Date (Month Index)].[All]" allUniqueName="[Manufacturing].[Production Date (Month Index)].[All]" dimensionUniqueName="[Manufacturing]" displayFolder="" count="0" memberValueDatatype="20" unbalanced="0" hidden="1"/>
    <cacheHierarchy uniqueName="[Measures].[__XL_Count Manufacturing]" caption="__XL_Count Manufacturing" measure="1" displayFolder="" measureGroup="Manufacturing" count="0" hidden="1"/>
    <cacheHierarchy uniqueName="[Measures].[__No measures defined]" caption="__No measures defined" measure="1" displayFolder="" count="0" hidden="1"/>
    <cacheHierarchy uniqueName="[Measures].[Sum of Quantity Produced]" caption="Sum of Quantity Produced" measure="1" displayFolder="" measureGroup="Manufacturing" count="0" hidden="1">
      <extLst>
        <ext xmlns:x15="http://schemas.microsoft.com/office/spreadsheetml/2010/11/main" uri="{B97F6D7D-B522-45F9-BDA1-12C45D357490}">
          <x15:cacheHierarchy aggregatedColumn="5"/>
        </ext>
      </extLst>
    </cacheHierarchy>
    <cacheHierarchy uniqueName="[Measures].[Sum of Defects]" caption="Sum of Defects" measure="1" displayFolder="" measureGroup="Manufacturing" count="0" hidden="1">
      <extLst>
        <ext xmlns:x15="http://schemas.microsoft.com/office/spreadsheetml/2010/11/main" uri="{B97F6D7D-B522-45F9-BDA1-12C45D357490}">
          <x15:cacheHierarchy aggregatedColumn="6"/>
        </ext>
      </extLst>
    </cacheHierarchy>
    <cacheHierarchy uniqueName="[Measures].[Sum of Production Cost ($)]" caption="Sum of Production Cost ($)" measure="1" displayFolder="" measureGroup="Manufacturing" count="0" hidden="1">
      <extLst>
        <ext xmlns:x15="http://schemas.microsoft.com/office/spreadsheetml/2010/11/main" uri="{B97F6D7D-B522-45F9-BDA1-12C45D357490}">
          <x15:cacheHierarchy aggregatedColumn="8"/>
        </ext>
      </extLst>
    </cacheHierarchy>
    <cacheHierarchy uniqueName="[Measures].[Sum of Sales Revenue ($)]" caption="Sum of Sales Revenue ($)" measure="1" displayFolder="" measureGroup="Manufacturing" count="0" hidden="1">
      <extLst>
        <ext xmlns:x15="http://schemas.microsoft.com/office/spreadsheetml/2010/11/main" uri="{B97F6D7D-B522-45F9-BDA1-12C45D357490}">
          <x15:cacheHierarchy aggregatedColumn="9"/>
        </ext>
      </extLst>
    </cacheHierarchy>
    <cacheHierarchy uniqueName="[Measures].[Sum of Efficiency (%)]" caption="Sum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Average of Efficiency (%)]" caption="Average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Manufacturing" count="0" hidden="1">
      <extLst>
        <ext xmlns:x15="http://schemas.microsoft.com/office/spreadsheetml/2010/11/main" uri="{B97F6D7D-B522-45F9-BDA1-12C45D357490}">
          <x15:cacheHierarchy aggregatedColumn="2"/>
        </ext>
      </extLst>
    </cacheHierarchy>
    <cacheHierarchy uniqueName="[Measures].[Count of Production Date]" caption="Count of Production Date" measure="1" displayFolder="" measureGroup="Manufacturing" count="0" hidden="1">
      <extLst>
        <ext xmlns:x15="http://schemas.microsoft.com/office/spreadsheetml/2010/11/main" uri="{B97F6D7D-B522-45F9-BDA1-12C45D357490}">
          <x15:cacheHierarchy aggregatedColumn="4"/>
        </ext>
      </extLst>
    </cacheHierarchy>
    <cacheHierarchy uniqueName="[Measures].[Count of Defect Range]" caption="Count of Defect Range" measure="1" displayFolder="" measureGroup="Manufacturing"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Downtime (Hours)]" caption="Sum of Downtime (Hours)" measure="1" displayFolder="" measureGroup="Manufacturing" count="0" hidden="1">
      <extLst>
        <ext xmlns:x15="http://schemas.microsoft.com/office/spreadsheetml/2010/11/main" uri="{B97F6D7D-B522-45F9-BDA1-12C45D357490}">
          <x15:cacheHierarchy aggregatedColumn="7"/>
        </ext>
      </extLst>
    </cacheHierarchy>
  </cacheHierarchies>
  <kpis count="0"/>
  <dimensions count="2">
    <dimension name="Manufacturing" uniqueName="[Manufacturing]" caption="Manufacturing"/>
    <dimension measure="1" name="Measures" uniqueName="[Measures]" caption="Measures"/>
  </dimensions>
  <measureGroups count="1">
    <measureGroup name="Manufacturing" caption="Manufactur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73.448656018518" backgroundQuery="1" createdVersion="8" refreshedVersion="8" minRefreshableVersion="3" recordCount="0" supportSubquery="1" supportAdvancedDrill="1" xr:uid="{EEBEE04A-BBD0-4150-90EE-670C5B04FF31}">
  <cacheSource type="external" connectionId="1"/>
  <cacheFields count="3">
    <cacheField name="[Measures].[Count of Defect Range]" caption="Count of Defect Range" numFmtId="0" hierarchy="29" level="32767"/>
    <cacheField name="[Manufacturing].[Manufacturing Plant].[Manufacturing Plant]" caption="Manufacturing Plant" numFmtId="0" hierarchy="3" level="1">
      <sharedItems count="3">
        <s v="Plant A"/>
        <s v="Plant B"/>
        <s v="Plant C"/>
      </sharedItems>
    </cacheField>
    <cacheField name="[Manufacturing].[Product].[Product]" caption="Product" numFmtId="0" hierarchy="1" level="1">
      <sharedItems count="5">
        <s v="Gadget X"/>
        <s v="Gadget Y"/>
        <s v="Tool Z"/>
        <s v="Widget A"/>
        <s v="Widget B"/>
      </sharedItems>
    </cacheField>
  </cacheFields>
  <cacheHierarchies count="31">
    <cacheHierarchy uniqueName="[Manufacturing].[Order ID]" caption="Order ID" attribute="1" defaultMemberUniqueName="[Manufacturing].[Order ID].[All]" allUniqueName="[Manufacturing].[Order ID].[All]" dimensionUniqueName="[Manufacturing]" displayFolder="" count="0" memberValueDatatype="130" unbalanced="0"/>
    <cacheHierarchy uniqueName="[Manufacturing].[Product]" caption="Product" attribute="1" defaultMemberUniqueName="[Manufacturing].[Product].[All]" allUniqueName="[Manufacturing].[Product].[All]" dimensionUniqueName="[Manufacturing]" displayFolder="" count="2" memberValueDatatype="130" unbalanced="0">
      <fieldsUsage count="2">
        <fieldUsage x="-1"/>
        <fieldUsage x="2"/>
      </fieldsUsage>
    </cacheHierarchy>
    <cacheHierarchy uniqueName="[Manufacturing].[Category]" caption="Category" attribute="1" defaultMemberUniqueName="[Manufacturing].[Category].[All]" allUniqueName="[Manufacturing].[Category].[All]" dimensionUniqueName="[Manufacturing]" displayFolder="" count="2" memberValueDatatype="130" unbalanced="0"/>
    <cacheHierarchy uniqueName="[Manufacturing].[Manufacturing Plant]" caption="Manufacturing Plant" attribute="1" defaultMemberUniqueName="[Manufacturing].[Manufacturing Plant].[All]" allUniqueName="[Manufacturing].[Manufacturing Plant].[All]" dimensionUniqueName="[Manufacturing]" displayFolder="" count="2" memberValueDatatype="130" unbalanced="0">
      <fieldsUsage count="2">
        <fieldUsage x="-1"/>
        <fieldUsage x="1"/>
      </fieldsUsage>
    </cacheHierarchy>
    <cacheHierarchy uniqueName="[Manufacturing].[Production Date]" caption="Production Date" attribute="1" time="1" defaultMemberUniqueName="[Manufacturing].[Production Date].[All]" allUniqueName="[Manufacturing].[Production Date].[All]" dimensionUniqueName="[Manufacturing]" displayFolder="" count="0" memberValueDatatype="7" unbalanced="0"/>
    <cacheHierarchy uniqueName="[Manufacturing].[Quantity Produced]" caption="Quantity Produced" attribute="1" defaultMemberUniqueName="[Manufacturing].[Quantity Produced].[All]" allUniqueName="[Manufacturing].[Quantity Produced].[All]" dimensionUniqueName="[Manufacturing]" displayFolder="" count="0" memberValueDatatype="20" unbalanced="0"/>
    <cacheHierarchy uniqueName="[Manufacturing].[Defects]" caption="Defects" attribute="1" defaultMemberUniqueName="[Manufacturing].[Defects].[All]" allUniqueName="[Manufacturing].[Defects].[All]" dimensionUniqueName="[Manufacturing]" displayFolder="" count="0" memberValueDatatype="20" unbalanced="0"/>
    <cacheHierarchy uniqueName="[Manufacturing].[Downtime (Hours)]" caption="Downtime (Hours)" attribute="1" defaultMemberUniqueName="[Manufacturing].[Downtime (Hours)].[All]" allUniqueName="[Manufacturing].[Downtime (Hours)].[All]" dimensionUniqueName="[Manufacturing]" displayFolder="" count="0" memberValueDatatype="5" unbalanced="0"/>
    <cacheHierarchy uniqueName="[Manufacturing].[Production Cost ($)]" caption="Production Cost ($)" attribute="1" defaultMemberUniqueName="[Manufacturing].[Production Cost ($)].[All]" allUniqueName="[Manufacturing].[Production Cost ($)].[All]" dimensionUniqueName="[Manufacturing]" displayFolder="" count="0" memberValueDatatype="5" unbalanced="0"/>
    <cacheHierarchy uniqueName="[Manufacturing].[Sales Revenue ($)]" caption="Sales Revenue ($)" attribute="1" defaultMemberUniqueName="[Manufacturing].[Sales Revenue ($)].[All]" allUniqueName="[Manufacturing].[Sales Revenue ($)].[All]" dimensionUniqueName="[Manufacturing]" displayFolder="" count="0" memberValueDatatype="5" unbalanced="0"/>
    <cacheHierarchy uniqueName="[Manufacturing].[Efficiency (%)]" caption="Efficiency (%)" attribute="1" defaultMemberUniqueName="[Manufacturing].[Efficiency (%)].[All]" allUniqueName="[Manufacturing].[Efficiency (%)].[All]" dimensionUniqueName="[Manufacturing]" displayFolder="" count="0" memberValueDatatype="5" unbalanced="0"/>
    <cacheHierarchy uniqueName="[Manufacturing].[Supervisor]" caption="Supervisor" attribute="1" defaultMemberUniqueName="[Manufacturing].[Supervisor].[All]" allUniqueName="[Manufacturing].[Supervisor].[All]" dimensionUniqueName="[Manufacturing]" displayFolder="" count="0" memberValueDatatype="130" unbalanced="0"/>
    <cacheHierarchy uniqueName="[Manufacturing].[Production Date (Year)]" caption="Production Date (Year)" attribute="1" defaultMemberUniqueName="[Manufacturing].[Production Date (Year)].[All]" allUniqueName="[Manufacturing].[Production Date (Year)].[All]" dimensionUniqueName="[Manufacturing]" displayFolder="" count="0" memberValueDatatype="130" unbalanced="0"/>
    <cacheHierarchy uniqueName="[Manufacturing].[Production Date (Quarter)]" caption="Production Date (Quarter)" attribute="1" defaultMemberUniqueName="[Manufacturing].[Production Date (Quarter)].[All]" allUniqueName="[Manufacturing].[Production Date (Quarter)].[All]" dimensionUniqueName="[Manufacturing]" displayFolder="" count="0" memberValueDatatype="130" unbalanced="0"/>
    <cacheHierarchy uniqueName="[Manufacturing].[Production Date (Month)]" caption="Production Date (Month)" attribute="1" defaultMemberUniqueName="[Manufacturing].[Production Date (Month)].[All]" allUniqueName="[Manufacturing].[Production Date (Month)].[All]" dimensionUniqueName="[Manufacturing]" displayFolder="" count="0" memberValueDatatype="130" unbalanced="0"/>
    <cacheHierarchy uniqueName="[Manufacturing].[Month]" caption="Month" attribute="1" defaultMemberUniqueName="[Manufacturing].[Month].[All]" allUniqueName="[Manufacturing].[Month].[All]" dimensionUniqueName="[Manufacturing]" displayFolder="" count="2" memberValueDatatype="20" unbalanced="0"/>
    <cacheHierarchy uniqueName="[Manufacturing].[Year]" caption="Year" attribute="1" defaultMemberUniqueName="[Manufacturing].[Year].[All]" allUniqueName="[Manufacturing].[Year].[All]" dimensionUniqueName="[Manufacturing]" displayFolder="" count="0" memberValueDatatype="20" unbalanced="0"/>
    <cacheHierarchy uniqueName="[Manufacturing].[Defect Range]" caption="Defect Range" attribute="1" defaultMemberUniqueName="[Manufacturing].[Defect Range].[All]" allUniqueName="[Manufacturing].[Defect Range].[All]" dimensionUniqueName="[Manufacturing]" displayFolder="" count="0" memberValueDatatype="130" unbalanced="0"/>
    <cacheHierarchy uniqueName="[Manufacturing].[Production Date (Month Index)]" caption="Production Date (Month Index)" attribute="1" defaultMemberUniqueName="[Manufacturing].[Production Date (Month Index)].[All]" allUniqueName="[Manufacturing].[Production Date (Month Index)].[All]" dimensionUniqueName="[Manufacturing]" displayFolder="" count="0" memberValueDatatype="20" unbalanced="0" hidden="1"/>
    <cacheHierarchy uniqueName="[Measures].[__XL_Count Manufacturing]" caption="__XL_Count Manufacturing" measure="1" displayFolder="" measureGroup="Manufacturing" count="0" hidden="1"/>
    <cacheHierarchy uniqueName="[Measures].[__No measures defined]" caption="__No measures defined" measure="1" displayFolder="" count="0" hidden="1"/>
    <cacheHierarchy uniqueName="[Measures].[Sum of Quantity Produced]" caption="Sum of Quantity Produced" measure="1" displayFolder="" measureGroup="Manufacturing" count="0" hidden="1">
      <extLst>
        <ext xmlns:x15="http://schemas.microsoft.com/office/spreadsheetml/2010/11/main" uri="{B97F6D7D-B522-45F9-BDA1-12C45D357490}">
          <x15:cacheHierarchy aggregatedColumn="5"/>
        </ext>
      </extLst>
    </cacheHierarchy>
    <cacheHierarchy uniqueName="[Measures].[Sum of Defects]" caption="Sum of Defects" measure="1" displayFolder="" measureGroup="Manufacturing" count="0" hidden="1">
      <extLst>
        <ext xmlns:x15="http://schemas.microsoft.com/office/spreadsheetml/2010/11/main" uri="{B97F6D7D-B522-45F9-BDA1-12C45D357490}">
          <x15:cacheHierarchy aggregatedColumn="6"/>
        </ext>
      </extLst>
    </cacheHierarchy>
    <cacheHierarchy uniqueName="[Measures].[Sum of Production Cost ($)]" caption="Sum of Production Cost ($)" measure="1" displayFolder="" measureGroup="Manufacturing" count="0" hidden="1">
      <extLst>
        <ext xmlns:x15="http://schemas.microsoft.com/office/spreadsheetml/2010/11/main" uri="{B97F6D7D-B522-45F9-BDA1-12C45D357490}">
          <x15:cacheHierarchy aggregatedColumn="8"/>
        </ext>
      </extLst>
    </cacheHierarchy>
    <cacheHierarchy uniqueName="[Measures].[Sum of Sales Revenue ($)]" caption="Sum of Sales Revenue ($)" measure="1" displayFolder="" measureGroup="Manufacturing" count="0" hidden="1">
      <extLst>
        <ext xmlns:x15="http://schemas.microsoft.com/office/spreadsheetml/2010/11/main" uri="{B97F6D7D-B522-45F9-BDA1-12C45D357490}">
          <x15:cacheHierarchy aggregatedColumn="9"/>
        </ext>
      </extLst>
    </cacheHierarchy>
    <cacheHierarchy uniqueName="[Measures].[Sum of Efficiency (%)]" caption="Sum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Average of Efficiency (%)]" caption="Average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Manufacturing" count="0" hidden="1">
      <extLst>
        <ext xmlns:x15="http://schemas.microsoft.com/office/spreadsheetml/2010/11/main" uri="{B97F6D7D-B522-45F9-BDA1-12C45D357490}">
          <x15:cacheHierarchy aggregatedColumn="2"/>
        </ext>
      </extLst>
    </cacheHierarchy>
    <cacheHierarchy uniqueName="[Measures].[Count of Production Date]" caption="Count of Production Date" measure="1" displayFolder="" measureGroup="Manufacturing" count="0" hidden="1">
      <extLst>
        <ext xmlns:x15="http://schemas.microsoft.com/office/spreadsheetml/2010/11/main" uri="{B97F6D7D-B522-45F9-BDA1-12C45D357490}">
          <x15:cacheHierarchy aggregatedColumn="4"/>
        </ext>
      </extLst>
    </cacheHierarchy>
    <cacheHierarchy uniqueName="[Measures].[Count of Defect Range]" caption="Count of Defect Range" measure="1" displayFolder="" measureGroup="Manufacturing"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Downtime (Hours)]" caption="Sum of Downtime (Hours)" measure="1" displayFolder="" measureGroup="Manufacturing" count="0" hidden="1">
      <extLst>
        <ext xmlns:x15="http://schemas.microsoft.com/office/spreadsheetml/2010/11/main" uri="{B97F6D7D-B522-45F9-BDA1-12C45D357490}">
          <x15:cacheHierarchy aggregatedColumn="7"/>
        </ext>
      </extLst>
    </cacheHierarchy>
  </cacheHierarchies>
  <kpis count="0"/>
  <dimensions count="2">
    <dimension name="Manufacturing" uniqueName="[Manufacturing]" caption="Manufacturing"/>
    <dimension measure="1" name="Measures" uniqueName="[Measures]" caption="Measures"/>
  </dimensions>
  <measureGroups count="1">
    <measureGroup name="Manufacturing" caption="Manufactur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73.448657754627" backgroundQuery="1" createdVersion="8" refreshedVersion="8" minRefreshableVersion="3" recordCount="0" supportSubquery="1" supportAdvancedDrill="1" xr:uid="{EBC0243B-1E78-415C-9EAC-189750FC3D03}">
  <cacheSource type="external" connectionId="1"/>
  <cacheFields count="3">
    <cacheField name="[Manufacturing].[Production Date (Month)].[Production Date (Month)]" caption="Production Date (Month)" numFmtId="0" hierarchy="14" level="1">
      <sharedItems count="12">
        <s v="Jan"/>
        <s v="Feb"/>
        <s v="Mar"/>
        <s v="Apr"/>
        <s v="May"/>
        <s v="Jun"/>
        <s v="Jul"/>
        <s v="Aug"/>
        <s v="Sep"/>
        <s v="Oct"/>
        <s v="Nov"/>
        <s v="Dec"/>
      </sharedItems>
    </cacheField>
    <cacheField name="[Measures].[Sum of Defects]" caption="Sum of Defects" numFmtId="0" hierarchy="22" level="32767"/>
    <cacheField name="[Manufacturing].[Manufacturing Plant].[Manufacturing Plant]" caption="Manufacturing Plant" numFmtId="0" hierarchy="3" level="1">
      <sharedItems containsSemiMixedTypes="0" containsNonDate="0" containsString="0"/>
    </cacheField>
  </cacheFields>
  <cacheHierarchies count="31">
    <cacheHierarchy uniqueName="[Manufacturing].[Order ID]" caption="Order ID" attribute="1" defaultMemberUniqueName="[Manufacturing].[Order ID].[All]" allUniqueName="[Manufacturing].[Order ID].[All]" dimensionUniqueName="[Manufacturing]" displayFolder="" count="0" memberValueDatatype="130" unbalanced="0"/>
    <cacheHierarchy uniqueName="[Manufacturing].[Product]" caption="Product" attribute="1" defaultMemberUniqueName="[Manufacturing].[Product].[All]" allUniqueName="[Manufacturing].[Product].[All]" dimensionUniqueName="[Manufacturing]" displayFolder="" count="0" memberValueDatatype="130" unbalanced="0"/>
    <cacheHierarchy uniqueName="[Manufacturing].[Category]" caption="Category" attribute="1" defaultMemberUniqueName="[Manufacturing].[Category].[All]" allUniqueName="[Manufacturing].[Category].[All]" dimensionUniqueName="[Manufacturing]" displayFolder="" count="2" memberValueDatatype="130" unbalanced="0"/>
    <cacheHierarchy uniqueName="[Manufacturing].[Manufacturing Plant]" caption="Manufacturing Plant" attribute="1" defaultMemberUniqueName="[Manufacturing].[Manufacturing Plant].[All]" allUniqueName="[Manufacturing].[Manufacturing Plant].[All]" dimensionUniqueName="[Manufacturing]" displayFolder="" count="2" memberValueDatatype="130" unbalanced="0">
      <fieldsUsage count="2">
        <fieldUsage x="-1"/>
        <fieldUsage x="2"/>
      </fieldsUsage>
    </cacheHierarchy>
    <cacheHierarchy uniqueName="[Manufacturing].[Production Date]" caption="Production Date" attribute="1" time="1" defaultMemberUniqueName="[Manufacturing].[Production Date].[All]" allUniqueName="[Manufacturing].[Production Date].[All]" dimensionUniqueName="[Manufacturing]" displayFolder="" count="0" memberValueDatatype="7" unbalanced="0"/>
    <cacheHierarchy uniqueName="[Manufacturing].[Quantity Produced]" caption="Quantity Produced" attribute="1" defaultMemberUniqueName="[Manufacturing].[Quantity Produced].[All]" allUniqueName="[Manufacturing].[Quantity Produced].[All]" dimensionUniqueName="[Manufacturing]" displayFolder="" count="0" memberValueDatatype="20" unbalanced="0"/>
    <cacheHierarchy uniqueName="[Manufacturing].[Defects]" caption="Defects" attribute="1" defaultMemberUniqueName="[Manufacturing].[Defects].[All]" allUniqueName="[Manufacturing].[Defects].[All]" dimensionUniqueName="[Manufacturing]" displayFolder="" count="0" memberValueDatatype="20" unbalanced="0"/>
    <cacheHierarchy uniqueName="[Manufacturing].[Downtime (Hours)]" caption="Downtime (Hours)" attribute="1" defaultMemberUniqueName="[Manufacturing].[Downtime (Hours)].[All]" allUniqueName="[Manufacturing].[Downtime (Hours)].[All]" dimensionUniqueName="[Manufacturing]" displayFolder="" count="0" memberValueDatatype="5" unbalanced="0"/>
    <cacheHierarchy uniqueName="[Manufacturing].[Production Cost ($)]" caption="Production Cost ($)" attribute="1" defaultMemberUniqueName="[Manufacturing].[Production Cost ($)].[All]" allUniqueName="[Manufacturing].[Production Cost ($)].[All]" dimensionUniqueName="[Manufacturing]" displayFolder="" count="0" memberValueDatatype="5" unbalanced="0"/>
    <cacheHierarchy uniqueName="[Manufacturing].[Sales Revenue ($)]" caption="Sales Revenue ($)" attribute="1" defaultMemberUniqueName="[Manufacturing].[Sales Revenue ($)].[All]" allUniqueName="[Manufacturing].[Sales Revenue ($)].[All]" dimensionUniqueName="[Manufacturing]" displayFolder="" count="0" memberValueDatatype="5" unbalanced="0"/>
    <cacheHierarchy uniqueName="[Manufacturing].[Efficiency (%)]" caption="Efficiency (%)" attribute="1" defaultMemberUniqueName="[Manufacturing].[Efficiency (%)].[All]" allUniqueName="[Manufacturing].[Efficiency (%)].[All]" dimensionUniqueName="[Manufacturing]" displayFolder="" count="0" memberValueDatatype="5" unbalanced="0"/>
    <cacheHierarchy uniqueName="[Manufacturing].[Supervisor]" caption="Supervisor" attribute="1" defaultMemberUniqueName="[Manufacturing].[Supervisor].[All]" allUniqueName="[Manufacturing].[Supervisor].[All]" dimensionUniqueName="[Manufacturing]" displayFolder="" count="0" memberValueDatatype="130" unbalanced="0"/>
    <cacheHierarchy uniqueName="[Manufacturing].[Production Date (Year)]" caption="Production Date (Year)" attribute="1" defaultMemberUniqueName="[Manufacturing].[Production Date (Year)].[All]" allUniqueName="[Manufacturing].[Production Date (Year)].[All]" dimensionUniqueName="[Manufacturing]" displayFolder="" count="0" memberValueDatatype="130" unbalanced="0"/>
    <cacheHierarchy uniqueName="[Manufacturing].[Production Date (Quarter)]" caption="Production Date (Quarter)" attribute="1" defaultMemberUniqueName="[Manufacturing].[Production Date (Quarter)].[All]" allUniqueName="[Manufacturing].[Production Date (Quarter)].[All]" dimensionUniqueName="[Manufacturing]" displayFolder="" count="0" memberValueDatatype="130" unbalanced="0"/>
    <cacheHierarchy uniqueName="[Manufacturing].[Production Date (Month)]" caption="Production Date (Month)" attribute="1" defaultMemberUniqueName="[Manufacturing].[Production Date (Month)].[All]" allUniqueName="[Manufacturing].[Production Date (Month)].[All]" dimensionUniqueName="[Manufacturing]" displayFolder="" count="2" memberValueDatatype="130" unbalanced="0">
      <fieldsUsage count="2">
        <fieldUsage x="-1"/>
        <fieldUsage x="0"/>
      </fieldsUsage>
    </cacheHierarchy>
    <cacheHierarchy uniqueName="[Manufacturing].[Month]" caption="Month" attribute="1" defaultMemberUniqueName="[Manufacturing].[Month].[All]" allUniqueName="[Manufacturing].[Month].[All]" dimensionUniqueName="[Manufacturing]" displayFolder="" count="2" memberValueDatatype="20" unbalanced="0"/>
    <cacheHierarchy uniqueName="[Manufacturing].[Year]" caption="Year" attribute="1" defaultMemberUniqueName="[Manufacturing].[Year].[All]" allUniqueName="[Manufacturing].[Year].[All]" dimensionUniqueName="[Manufacturing]" displayFolder="" count="0" memberValueDatatype="20" unbalanced="0"/>
    <cacheHierarchy uniqueName="[Manufacturing].[Defect Range]" caption="Defect Range" attribute="1" defaultMemberUniqueName="[Manufacturing].[Defect Range].[All]" allUniqueName="[Manufacturing].[Defect Range].[All]" dimensionUniqueName="[Manufacturing]" displayFolder="" count="0" memberValueDatatype="130" unbalanced="0"/>
    <cacheHierarchy uniqueName="[Manufacturing].[Production Date (Month Index)]" caption="Production Date (Month Index)" attribute="1" defaultMemberUniqueName="[Manufacturing].[Production Date (Month Index)].[All]" allUniqueName="[Manufacturing].[Production Date (Month Index)].[All]" dimensionUniqueName="[Manufacturing]" displayFolder="" count="0" memberValueDatatype="20" unbalanced="0" hidden="1"/>
    <cacheHierarchy uniqueName="[Measures].[__XL_Count Manufacturing]" caption="__XL_Count Manufacturing" measure="1" displayFolder="" measureGroup="Manufacturing" count="0" hidden="1"/>
    <cacheHierarchy uniqueName="[Measures].[__No measures defined]" caption="__No measures defined" measure="1" displayFolder="" count="0" hidden="1"/>
    <cacheHierarchy uniqueName="[Measures].[Sum of Quantity Produced]" caption="Sum of Quantity Produced" measure="1" displayFolder="" measureGroup="Manufacturing" count="0" hidden="1">
      <extLst>
        <ext xmlns:x15="http://schemas.microsoft.com/office/spreadsheetml/2010/11/main" uri="{B97F6D7D-B522-45F9-BDA1-12C45D357490}">
          <x15:cacheHierarchy aggregatedColumn="5"/>
        </ext>
      </extLst>
    </cacheHierarchy>
    <cacheHierarchy uniqueName="[Measures].[Sum of Defects]" caption="Sum of Defects" measure="1" displayFolder="" measureGroup="Manufacturing"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Production Cost ($)]" caption="Sum of Production Cost ($)" measure="1" displayFolder="" measureGroup="Manufacturing" count="0" hidden="1">
      <extLst>
        <ext xmlns:x15="http://schemas.microsoft.com/office/spreadsheetml/2010/11/main" uri="{B97F6D7D-B522-45F9-BDA1-12C45D357490}">
          <x15:cacheHierarchy aggregatedColumn="8"/>
        </ext>
      </extLst>
    </cacheHierarchy>
    <cacheHierarchy uniqueName="[Measures].[Sum of Sales Revenue ($)]" caption="Sum of Sales Revenue ($)" measure="1" displayFolder="" measureGroup="Manufacturing" count="0" hidden="1">
      <extLst>
        <ext xmlns:x15="http://schemas.microsoft.com/office/spreadsheetml/2010/11/main" uri="{B97F6D7D-B522-45F9-BDA1-12C45D357490}">
          <x15:cacheHierarchy aggregatedColumn="9"/>
        </ext>
      </extLst>
    </cacheHierarchy>
    <cacheHierarchy uniqueName="[Measures].[Sum of Efficiency (%)]" caption="Sum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Average of Efficiency (%)]" caption="Average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Manufacturing" count="0" hidden="1">
      <extLst>
        <ext xmlns:x15="http://schemas.microsoft.com/office/spreadsheetml/2010/11/main" uri="{B97F6D7D-B522-45F9-BDA1-12C45D357490}">
          <x15:cacheHierarchy aggregatedColumn="2"/>
        </ext>
      </extLst>
    </cacheHierarchy>
    <cacheHierarchy uniqueName="[Measures].[Count of Production Date]" caption="Count of Production Date" measure="1" displayFolder="" measureGroup="Manufacturing" count="0" hidden="1">
      <extLst>
        <ext xmlns:x15="http://schemas.microsoft.com/office/spreadsheetml/2010/11/main" uri="{B97F6D7D-B522-45F9-BDA1-12C45D357490}">
          <x15:cacheHierarchy aggregatedColumn="4"/>
        </ext>
      </extLst>
    </cacheHierarchy>
    <cacheHierarchy uniqueName="[Measures].[Count of Defect Range]" caption="Count of Defect Range" measure="1" displayFolder="" measureGroup="Manufacturing" count="0" hidden="1">
      <extLst>
        <ext xmlns:x15="http://schemas.microsoft.com/office/spreadsheetml/2010/11/main" uri="{B97F6D7D-B522-45F9-BDA1-12C45D357490}">
          <x15:cacheHierarchy aggregatedColumn="17"/>
        </ext>
      </extLst>
    </cacheHierarchy>
    <cacheHierarchy uniqueName="[Measures].[Sum of Downtime (Hours)]" caption="Sum of Downtime (Hours)" measure="1" displayFolder="" measureGroup="Manufacturing" count="0" hidden="1">
      <extLst>
        <ext xmlns:x15="http://schemas.microsoft.com/office/spreadsheetml/2010/11/main" uri="{B97F6D7D-B522-45F9-BDA1-12C45D357490}">
          <x15:cacheHierarchy aggregatedColumn="7"/>
        </ext>
      </extLst>
    </cacheHierarchy>
  </cacheHierarchies>
  <kpis count="0"/>
  <dimensions count="2">
    <dimension name="Manufacturing" uniqueName="[Manufacturing]" caption="Manufacturing"/>
    <dimension measure="1" name="Measures" uniqueName="[Measures]" caption="Measures"/>
  </dimensions>
  <measureGroups count="1">
    <measureGroup name="Manufacturing" caption="Manufactur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73.448659606482" backgroundQuery="1" createdVersion="8" refreshedVersion="8" minRefreshableVersion="3" recordCount="0" supportSubquery="1" supportAdvancedDrill="1" xr:uid="{570DAFC4-4ED1-4FE3-BAA3-FE0B048D773F}">
  <cacheSource type="external" connectionId="1"/>
  <cacheFields count="2">
    <cacheField name="[Manufacturing].[Manufacturing Plant].[Manufacturing Plant]" caption="Manufacturing Plant" numFmtId="0" hierarchy="3" level="1">
      <sharedItems count="3">
        <s v="Plant A"/>
        <s v="Plant B"/>
        <s v="Plant C"/>
      </sharedItems>
    </cacheField>
    <cacheField name="[Measures].[Sum of Sales Revenue ($)]" caption="Sum of Sales Revenue ($)" numFmtId="0" hierarchy="24" level="32767"/>
  </cacheFields>
  <cacheHierarchies count="31">
    <cacheHierarchy uniqueName="[Manufacturing].[Order ID]" caption="Order ID" attribute="1" defaultMemberUniqueName="[Manufacturing].[Order ID].[All]" allUniqueName="[Manufacturing].[Order ID].[All]" dimensionUniqueName="[Manufacturing]" displayFolder="" count="0" memberValueDatatype="130" unbalanced="0"/>
    <cacheHierarchy uniqueName="[Manufacturing].[Product]" caption="Product" attribute="1" defaultMemberUniqueName="[Manufacturing].[Product].[All]" allUniqueName="[Manufacturing].[Product].[All]" dimensionUniqueName="[Manufacturing]" displayFolder="" count="0" memberValueDatatype="130" unbalanced="0"/>
    <cacheHierarchy uniqueName="[Manufacturing].[Category]" caption="Category" attribute="1" defaultMemberUniqueName="[Manufacturing].[Category].[All]" allUniqueName="[Manufacturing].[Category].[All]" dimensionUniqueName="[Manufacturing]" displayFolder="" count="2" memberValueDatatype="130" unbalanced="0"/>
    <cacheHierarchy uniqueName="[Manufacturing].[Manufacturing Plant]" caption="Manufacturing Plant" attribute="1" defaultMemberUniqueName="[Manufacturing].[Manufacturing Plant].[All]" allUniqueName="[Manufacturing].[Manufacturing Plant].[All]" dimensionUniqueName="[Manufacturing]" displayFolder="" count="2" memberValueDatatype="130" unbalanced="0">
      <fieldsUsage count="2">
        <fieldUsage x="-1"/>
        <fieldUsage x="0"/>
      </fieldsUsage>
    </cacheHierarchy>
    <cacheHierarchy uniqueName="[Manufacturing].[Production Date]" caption="Production Date" attribute="1" time="1" defaultMemberUniqueName="[Manufacturing].[Production Date].[All]" allUniqueName="[Manufacturing].[Production Date].[All]" dimensionUniqueName="[Manufacturing]" displayFolder="" count="0" memberValueDatatype="7" unbalanced="0"/>
    <cacheHierarchy uniqueName="[Manufacturing].[Quantity Produced]" caption="Quantity Produced" attribute="1" defaultMemberUniqueName="[Manufacturing].[Quantity Produced].[All]" allUniqueName="[Manufacturing].[Quantity Produced].[All]" dimensionUniqueName="[Manufacturing]" displayFolder="" count="0" memberValueDatatype="20" unbalanced="0"/>
    <cacheHierarchy uniqueName="[Manufacturing].[Defects]" caption="Defects" attribute="1" defaultMemberUniqueName="[Manufacturing].[Defects].[All]" allUniqueName="[Manufacturing].[Defects].[All]" dimensionUniqueName="[Manufacturing]" displayFolder="" count="0" memberValueDatatype="20" unbalanced="0"/>
    <cacheHierarchy uniqueName="[Manufacturing].[Downtime (Hours)]" caption="Downtime (Hours)" attribute="1" defaultMemberUniqueName="[Manufacturing].[Downtime (Hours)].[All]" allUniqueName="[Manufacturing].[Downtime (Hours)].[All]" dimensionUniqueName="[Manufacturing]" displayFolder="" count="0" memberValueDatatype="5" unbalanced="0"/>
    <cacheHierarchy uniqueName="[Manufacturing].[Production Cost ($)]" caption="Production Cost ($)" attribute="1" defaultMemberUniqueName="[Manufacturing].[Production Cost ($)].[All]" allUniqueName="[Manufacturing].[Production Cost ($)].[All]" dimensionUniqueName="[Manufacturing]" displayFolder="" count="0" memberValueDatatype="5" unbalanced="0"/>
    <cacheHierarchy uniqueName="[Manufacturing].[Sales Revenue ($)]" caption="Sales Revenue ($)" attribute="1" defaultMemberUniqueName="[Manufacturing].[Sales Revenue ($)].[All]" allUniqueName="[Manufacturing].[Sales Revenue ($)].[All]" dimensionUniqueName="[Manufacturing]" displayFolder="" count="0" memberValueDatatype="5" unbalanced="0"/>
    <cacheHierarchy uniqueName="[Manufacturing].[Efficiency (%)]" caption="Efficiency (%)" attribute="1" defaultMemberUniqueName="[Manufacturing].[Efficiency (%)].[All]" allUniqueName="[Manufacturing].[Efficiency (%)].[All]" dimensionUniqueName="[Manufacturing]" displayFolder="" count="0" memberValueDatatype="5" unbalanced="0"/>
    <cacheHierarchy uniqueName="[Manufacturing].[Supervisor]" caption="Supervisor" attribute="1" defaultMemberUniqueName="[Manufacturing].[Supervisor].[All]" allUniqueName="[Manufacturing].[Supervisor].[All]" dimensionUniqueName="[Manufacturing]" displayFolder="" count="0" memberValueDatatype="130" unbalanced="0"/>
    <cacheHierarchy uniqueName="[Manufacturing].[Production Date (Year)]" caption="Production Date (Year)" attribute="1" defaultMemberUniqueName="[Manufacturing].[Production Date (Year)].[All]" allUniqueName="[Manufacturing].[Production Date (Year)].[All]" dimensionUniqueName="[Manufacturing]" displayFolder="" count="0" memberValueDatatype="130" unbalanced="0"/>
    <cacheHierarchy uniqueName="[Manufacturing].[Production Date (Quarter)]" caption="Production Date (Quarter)" attribute="1" defaultMemberUniqueName="[Manufacturing].[Production Date (Quarter)].[All]" allUniqueName="[Manufacturing].[Production Date (Quarter)].[All]" dimensionUniqueName="[Manufacturing]" displayFolder="" count="0" memberValueDatatype="130" unbalanced="0"/>
    <cacheHierarchy uniqueName="[Manufacturing].[Production Date (Month)]" caption="Production Date (Month)" attribute="1" defaultMemberUniqueName="[Manufacturing].[Production Date (Month)].[All]" allUniqueName="[Manufacturing].[Production Date (Month)].[All]" dimensionUniqueName="[Manufacturing]" displayFolder="" count="0" memberValueDatatype="130" unbalanced="0"/>
    <cacheHierarchy uniqueName="[Manufacturing].[Month]" caption="Month" attribute="1" defaultMemberUniqueName="[Manufacturing].[Month].[All]" allUniqueName="[Manufacturing].[Month].[All]" dimensionUniqueName="[Manufacturing]" displayFolder="" count="2" memberValueDatatype="20" unbalanced="0"/>
    <cacheHierarchy uniqueName="[Manufacturing].[Year]" caption="Year" attribute="1" defaultMemberUniqueName="[Manufacturing].[Year].[All]" allUniqueName="[Manufacturing].[Year].[All]" dimensionUniqueName="[Manufacturing]" displayFolder="" count="0" memberValueDatatype="20" unbalanced="0"/>
    <cacheHierarchy uniqueName="[Manufacturing].[Defect Range]" caption="Defect Range" attribute="1" defaultMemberUniqueName="[Manufacturing].[Defect Range].[All]" allUniqueName="[Manufacturing].[Defect Range].[All]" dimensionUniqueName="[Manufacturing]" displayFolder="" count="0" memberValueDatatype="130" unbalanced="0"/>
    <cacheHierarchy uniqueName="[Manufacturing].[Production Date (Month Index)]" caption="Production Date (Month Index)" attribute="1" defaultMemberUniqueName="[Manufacturing].[Production Date (Month Index)].[All]" allUniqueName="[Manufacturing].[Production Date (Month Index)].[All]" dimensionUniqueName="[Manufacturing]" displayFolder="" count="0" memberValueDatatype="20" unbalanced="0" hidden="1"/>
    <cacheHierarchy uniqueName="[Measures].[__XL_Count Manufacturing]" caption="__XL_Count Manufacturing" measure="1" displayFolder="" measureGroup="Manufacturing" count="0" hidden="1"/>
    <cacheHierarchy uniqueName="[Measures].[__No measures defined]" caption="__No measures defined" measure="1" displayFolder="" count="0" hidden="1"/>
    <cacheHierarchy uniqueName="[Measures].[Sum of Quantity Produced]" caption="Sum of Quantity Produced" measure="1" displayFolder="" measureGroup="Manufacturing" count="0" hidden="1">
      <extLst>
        <ext xmlns:x15="http://schemas.microsoft.com/office/spreadsheetml/2010/11/main" uri="{B97F6D7D-B522-45F9-BDA1-12C45D357490}">
          <x15:cacheHierarchy aggregatedColumn="5"/>
        </ext>
      </extLst>
    </cacheHierarchy>
    <cacheHierarchy uniqueName="[Measures].[Sum of Defects]" caption="Sum of Defects" measure="1" displayFolder="" measureGroup="Manufacturing" count="0" hidden="1">
      <extLst>
        <ext xmlns:x15="http://schemas.microsoft.com/office/spreadsheetml/2010/11/main" uri="{B97F6D7D-B522-45F9-BDA1-12C45D357490}">
          <x15:cacheHierarchy aggregatedColumn="6"/>
        </ext>
      </extLst>
    </cacheHierarchy>
    <cacheHierarchy uniqueName="[Measures].[Sum of Production Cost ($)]" caption="Sum of Production Cost ($)" measure="1" displayFolder="" measureGroup="Manufacturing" count="0" hidden="1">
      <extLst>
        <ext xmlns:x15="http://schemas.microsoft.com/office/spreadsheetml/2010/11/main" uri="{B97F6D7D-B522-45F9-BDA1-12C45D357490}">
          <x15:cacheHierarchy aggregatedColumn="8"/>
        </ext>
      </extLst>
    </cacheHierarchy>
    <cacheHierarchy uniqueName="[Measures].[Sum of Sales Revenue ($)]" caption="Sum of Sales Revenue ($)" measure="1" displayFolder="" measureGroup="Manufacturing"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Efficiency (%)]" caption="Sum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Average of Efficiency (%)]" caption="Average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Manufacturing" count="0" hidden="1">
      <extLst>
        <ext xmlns:x15="http://schemas.microsoft.com/office/spreadsheetml/2010/11/main" uri="{B97F6D7D-B522-45F9-BDA1-12C45D357490}">
          <x15:cacheHierarchy aggregatedColumn="2"/>
        </ext>
      </extLst>
    </cacheHierarchy>
    <cacheHierarchy uniqueName="[Measures].[Count of Production Date]" caption="Count of Production Date" measure="1" displayFolder="" measureGroup="Manufacturing" count="0" hidden="1">
      <extLst>
        <ext xmlns:x15="http://schemas.microsoft.com/office/spreadsheetml/2010/11/main" uri="{B97F6D7D-B522-45F9-BDA1-12C45D357490}">
          <x15:cacheHierarchy aggregatedColumn="4"/>
        </ext>
      </extLst>
    </cacheHierarchy>
    <cacheHierarchy uniqueName="[Measures].[Count of Defect Range]" caption="Count of Defect Range" measure="1" displayFolder="" measureGroup="Manufacturing" count="0" hidden="1">
      <extLst>
        <ext xmlns:x15="http://schemas.microsoft.com/office/spreadsheetml/2010/11/main" uri="{B97F6D7D-B522-45F9-BDA1-12C45D357490}">
          <x15:cacheHierarchy aggregatedColumn="17"/>
        </ext>
      </extLst>
    </cacheHierarchy>
    <cacheHierarchy uniqueName="[Measures].[Sum of Downtime (Hours)]" caption="Sum of Downtime (Hours)" measure="1" displayFolder="" measureGroup="Manufacturing" count="0" hidden="1">
      <extLst>
        <ext xmlns:x15="http://schemas.microsoft.com/office/spreadsheetml/2010/11/main" uri="{B97F6D7D-B522-45F9-BDA1-12C45D357490}">
          <x15:cacheHierarchy aggregatedColumn="7"/>
        </ext>
      </extLst>
    </cacheHierarchy>
  </cacheHierarchies>
  <kpis count="0"/>
  <dimensions count="2">
    <dimension name="Manufacturing" uniqueName="[Manufacturing]" caption="Manufacturing"/>
    <dimension measure="1" name="Measures" uniqueName="[Measures]" caption="Measures"/>
  </dimensions>
  <measureGroups count="1">
    <measureGroup name="Manufacturing" caption="Manufactur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73.448661458337" backgroundQuery="1" createdVersion="8" refreshedVersion="8" minRefreshableVersion="3" recordCount="0" supportSubquery="1" supportAdvancedDrill="1" xr:uid="{8039E346-ABBD-49F1-A02C-999BB864B721}">
  <cacheSource type="external" connectionId="1"/>
  <cacheFields count="4">
    <cacheField name="[Measures].[Sum of Sales Revenue ($)]" caption="Sum of Sales Revenue ($)" numFmtId="0" hierarchy="24" level="32767"/>
    <cacheField name="[Manufacturing].[Category].[Category]" caption="Category" numFmtId="0" hierarchy="2" level="1">
      <sharedItems count="3">
        <s v="Electronics"/>
        <s v="Mechanical"/>
        <s v="Tools"/>
      </sharedItems>
    </cacheField>
    <cacheField name="[Measures].[Sum of Production Cost ($)]" caption="Sum of Production Cost ($)" numFmtId="0" hierarchy="23" level="32767"/>
    <cacheField name="[Manufacturing].[Manufacturing Plant].[Manufacturing Plant]" caption="Manufacturing Plant" numFmtId="0" hierarchy="3" level="1">
      <sharedItems containsSemiMixedTypes="0" containsNonDate="0" containsString="0"/>
    </cacheField>
  </cacheFields>
  <cacheHierarchies count="31">
    <cacheHierarchy uniqueName="[Manufacturing].[Order ID]" caption="Order ID" attribute="1" defaultMemberUniqueName="[Manufacturing].[Order ID].[All]" allUniqueName="[Manufacturing].[Order ID].[All]" dimensionUniqueName="[Manufacturing]" displayFolder="" count="0" memberValueDatatype="130" unbalanced="0"/>
    <cacheHierarchy uniqueName="[Manufacturing].[Product]" caption="Product" attribute="1" defaultMemberUniqueName="[Manufacturing].[Product].[All]" allUniqueName="[Manufacturing].[Product].[All]" dimensionUniqueName="[Manufacturing]" displayFolder="" count="0" memberValueDatatype="130" unbalanced="0"/>
    <cacheHierarchy uniqueName="[Manufacturing].[Category]" caption="Category" attribute="1" defaultMemberUniqueName="[Manufacturing].[Category].[All]" allUniqueName="[Manufacturing].[Category].[All]" dimensionUniqueName="[Manufacturing]" displayFolder="" count="2" memberValueDatatype="130" unbalanced="0">
      <fieldsUsage count="2">
        <fieldUsage x="-1"/>
        <fieldUsage x="1"/>
      </fieldsUsage>
    </cacheHierarchy>
    <cacheHierarchy uniqueName="[Manufacturing].[Manufacturing Plant]" caption="Manufacturing Plant" attribute="1" defaultMemberUniqueName="[Manufacturing].[Manufacturing Plant].[All]" allUniqueName="[Manufacturing].[Manufacturing Plant].[All]" dimensionUniqueName="[Manufacturing]" displayFolder="" count="2" memberValueDatatype="130" unbalanced="0">
      <fieldsUsage count="2">
        <fieldUsage x="-1"/>
        <fieldUsage x="3"/>
      </fieldsUsage>
    </cacheHierarchy>
    <cacheHierarchy uniqueName="[Manufacturing].[Production Date]" caption="Production Date" attribute="1" time="1" defaultMemberUniqueName="[Manufacturing].[Production Date].[All]" allUniqueName="[Manufacturing].[Production Date].[All]" dimensionUniqueName="[Manufacturing]" displayFolder="" count="0" memberValueDatatype="7" unbalanced="0"/>
    <cacheHierarchy uniqueName="[Manufacturing].[Quantity Produced]" caption="Quantity Produced" attribute="1" defaultMemberUniqueName="[Manufacturing].[Quantity Produced].[All]" allUniqueName="[Manufacturing].[Quantity Produced].[All]" dimensionUniqueName="[Manufacturing]" displayFolder="" count="0" memberValueDatatype="20" unbalanced="0"/>
    <cacheHierarchy uniqueName="[Manufacturing].[Defects]" caption="Defects" attribute="1" defaultMemberUniqueName="[Manufacturing].[Defects].[All]" allUniqueName="[Manufacturing].[Defects].[All]" dimensionUniqueName="[Manufacturing]" displayFolder="" count="0" memberValueDatatype="20" unbalanced="0"/>
    <cacheHierarchy uniqueName="[Manufacturing].[Downtime (Hours)]" caption="Downtime (Hours)" attribute="1" defaultMemberUniqueName="[Manufacturing].[Downtime (Hours)].[All]" allUniqueName="[Manufacturing].[Downtime (Hours)].[All]" dimensionUniqueName="[Manufacturing]" displayFolder="" count="0" memberValueDatatype="5" unbalanced="0"/>
    <cacheHierarchy uniqueName="[Manufacturing].[Production Cost ($)]" caption="Production Cost ($)" attribute="1" defaultMemberUniqueName="[Manufacturing].[Production Cost ($)].[All]" allUniqueName="[Manufacturing].[Production Cost ($)].[All]" dimensionUniqueName="[Manufacturing]" displayFolder="" count="0" memberValueDatatype="5" unbalanced="0"/>
    <cacheHierarchy uniqueName="[Manufacturing].[Sales Revenue ($)]" caption="Sales Revenue ($)" attribute="1" defaultMemberUniqueName="[Manufacturing].[Sales Revenue ($)].[All]" allUniqueName="[Manufacturing].[Sales Revenue ($)].[All]" dimensionUniqueName="[Manufacturing]" displayFolder="" count="0" memberValueDatatype="5" unbalanced="0"/>
    <cacheHierarchy uniqueName="[Manufacturing].[Efficiency (%)]" caption="Efficiency (%)" attribute="1" defaultMemberUniqueName="[Manufacturing].[Efficiency (%)].[All]" allUniqueName="[Manufacturing].[Efficiency (%)].[All]" dimensionUniqueName="[Manufacturing]" displayFolder="" count="0" memberValueDatatype="5" unbalanced="0"/>
    <cacheHierarchy uniqueName="[Manufacturing].[Supervisor]" caption="Supervisor" attribute="1" defaultMemberUniqueName="[Manufacturing].[Supervisor].[All]" allUniqueName="[Manufacturing].[Supervisor].[All]" dimensionUniqueName="[Manufacturing]" displayFolder="" count="0" memberValueDatatype="130" unbalanced="0"/>
    <cacheHierarchy uniqueName="[Manufacturing].[Production Date (Year)]" caption="Production Date (Year)" attribute="1" defaultMemberUniqueName="[Manufacturing].[Production Date (Year)].[All]" allUniqueName="[Manufacturing].[Production Date (Year)].[All]" dimensionUniqueName="[Manufacturing]" displayFolder="" count="0" memberValueDatatype="130" unbalanced="0"/>
    <cacheHierarchy uniqueName="[Manufacturing].[Production Date (Quarter)]" caption="Production Date (Quarter)" attribute="1" defaultMemberUniqueName="[Manufacturing].[Production Date (Quarter)].[All]" allUniqueName="[Manufacturing].[Production Date (Quarter)].[All]" dimensionUniqueName="[Manufacturing]" displayFolder="" count="0" memberValueDatatype="130" unbalanced="0"/>
    <cacheHierarchy uniqueName="[Manufacturing].[Production Date (Month)]" caption="Production Date (Month)" attribute="1" defaultMemberUniqueName="[Manufacturing].[Production Date (Month)].[All]" allUniqueName="[Manufacturing].[Production Date (Month)].[All]" dimensionUniqueName="[Manufacturing]" displayFolder="" count="0" memberValueDatatype="130" unbalanced="0"/>
    <cacheHierarchy uniqueName="[Manufacturing].[Month]" caption="Month" attribute="1" defaultMemberUniqueName="[Manufacturing].[Month].[All]" allUniqueName="[Manufacturing].[Month].[All]" dimensionUniqueName="[Manufacturing]" displayFolder="" count="2" memberValueDatatype="20" unbalanced="0"/>
    <cacheHierarchy uniqueName="[Manufacturing].[Year]" caption="Year" attribute="1" defaultMemberUniqueName="[Manufacturing].[Year].[All]" allUniqueName="[Manufacturing].[Year].[All]" dimensionUniqueName="[Manufacturing]" displayFolder="" count="0" memberValueDatatype="20" unbalanced="0"/>
    <cacheHierarchy uniqueName="[Manufacturing].[Defect Range]" caption="Defect Range" attribute="1" defaultMemberUniqueName="[Manufacturing].[Defect Range].[All]" allUniqueName="[Manufacturing].[Defect Range].[All]" dimensionUniqueName="[Manufacturing]" displayFolder="" count="0" memberValueDatatype="130" unbalanced="0"/>
    <cacheHierarchy uniqueName="[Manufacturing].[Production Date (Month Index)]" caption="Production Date (Month Index)" attribute="1" defaultMemberUniqueName="[Manufacturing].[Production Date (Month Index)].[All]" allUniqueName="[Manufacturing].[Production Date (Month Index)].[All]" dimensionUniqueName="[Manufacturing]" displayFolder="" count="0" memberValueDatatype="20" unbalanced="0" hidden="1"/>
    <cacheHierarchy uniqueName="[Measures].[__XL_Count Manufacturing]" caption="__XL_Count Manufacturing" measure="1" displayFolder="" measureGroup="Manufacturing" count="0" hidden="1"/>
    <cacheHierarchy uniqueName="[Measures].[__No measures defined]" caption="__No measures defined" measure="1" displayFolder="" count="0" hidden="1"/>
    <cacheHierarchy uniqueName="[Measures].[Sum of Quantity Produced]" caption="Sum of Quantity Produced" measure="1" displayFolder="" measureGroup="Manufacturing" count="0" hidden="1">
      <extLst>
        <ext xmlns:x15="http://schemas.microsoft.com/office/spreadsheetml/2010/11/main" uri="{B97F6D7D-B522-45F9-BDA1-12C45D357490}">
          <x15:cacheHierarchy aggregatedColumn="5"/>
        </ext>
      </extLst>
    </cacheHierarchy>
    <cacheHierarchy uniqueName="[Measures].[Sum of Defects]" caption="Sum of Defects" measure="1" displayFolder="" measureGroup="Manufacturing" count="0" hidden="1">
      <extLst>
        <ext xmlns:x15="http://schemas.microsoft.com/office/spreadsheetml/2010/11/main" uri="{B97F6D7D-B522-45F9-BDA1-12C45D357490}">
          <x15:cacheHierarchy aggregatedColumn="6"/>
        </ext>
      </extLst>
    </cacheHierarchy>
    <cacheHierarchy uniqueName="[Measures].[Sum of Production Cost ($)]" caption="Sum of Production Cost ($)" measure="1" displayFolder="" measureGroup="Manufacturing"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Sales Revenue ($)]" caption="Sum of Sales Revenue ($)" measure="1" displayFolder="" measureGroup="Manufacturing"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Efficiency (%)]" caption="Sum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Average of Efficiency (%)]" caption="Average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Manufacturing" count="0" hidden="1">
      <extLst>
        <ext xmlns:x15="http://schemas.microsoft.com/office/spreadsheetml/2010/11/main" uri="{B97F6D7D-B522-45F9-BDA1-12C45D357490}">
          <x15:cacheHierarchy aggregatedColumn="2"/>
        </ext>
      </extLst>
    </cacheHierarchy>
    <cacheHierarchy uniqueName="[Measures].[Count of Production Date]" caption="Count of Production Date" measure="1" displayFolder="" measureGroup="Manufacturing" count="0" hidden="1">
      <extLst>
        <ext xmlns:x15="http://schemas.microsoft.com/office/spreadsheetml/2010/11/main" uri="{B97F6D7D-B522-45F9-BDA1-12C45D357490}">
          <x15:cacheHierarchy aggregatedColumn="4"/>
        </ext>
      </extLst>
    </cacheHierarchy>
    <cacheHierarchy uniqueName="[Measures].[Count of Defect Range]" caption="Count of Defect Range" measure="1" displayFolder="" measureGroup="Manufacturing" count="0" hidden="1">
      <extLst>
        <ext xmlns:x15="http://schemas.microsoft.com/office/spreadsheetml/2010/11/main" uri="{B97F6D7D-B522-45F9-BDA1-12C45D357490}">
          <x15:cacheHierarchy aggregatedColumn="17"/>
        </ext>
      </extLst>
    </cacheHierarchy>
    <cacheHierarchy uniqueName="[Measures].[Sum of Downtime (Hours)]" caption="Sum of Downtime (Hours)" measure="1" displayFolder="" measureGroup="Manufacturing" count="0" hidden="1">
      <extLst>
        <ext xmlns:x15="http://schemas.microsoft.com/office/spreadsheetml/2010/11/main" uri="{B97F6D7D-B522-45F9-BDA1-12C45D357490}">
          <x15:cacheHierarchy aggregatedColumn="7"/>
        </ext>
      </extLst>
    </cacheHierarchy>
  </cacheHierarchies>
  <kpis count="0"/>
  <dimensions count="2">
    <dimension name="Manufacturing" uniqueName="[Manufacturing]" caption="Manufacturing"/>
    <dimension measure="1" name="Measures" uniqueName="[Measures]" caption="Measures"/>
  </dimensions>
  <measureGroups count="1">
    <measureGroup name="Manufacturing" caption="Manufactur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73.448663078707" backgroundQuery="1" createdVersion="8" refreshedVersion="8" minRefreshableVersion="3" recordCount="0" supportSubquery="1" supportAdvancedDrill="1" xr:uid="{9126AA7B-9CC8-4197-87C3-6B8355C5A189}">
  <cacheSource type="external" connectionId="1"/>
  <cacheFields count="4">
    <cacheField name="[Measures].[Sum of Sales Revenue ($)]" caption="Sum of Sales Revenue ($)" numFmtId="0" hierarchy="24" level="32767"/>
    <cacheField name="[Measures].[Sum of Production Cost ($)]" caption="Sum of Production Cost ($)" numFmtId="0" hierarchy="23" level="32767"/>
    <cacheField name="[Manufacturing].[Production Date (Month)].[Production Date (Month)]" caption="Production Date (Month)" numFmtId="0" hierarchy="14" level="1">
      <sharedItems count="12">
        <s v="Jan"/>
        <s v="Feb"/>
        <s v="Mar"/>
        <s v="Apr"/>
        <s v="May"/>
        <s v="Jun"/>
        <s v="Jul"/>
        <s v="Aug"/>
        <s v="Sep"/>
        <s v="Oct"/>
        <s v="Nov"/>
        <s v="Dec"/>
      </sharedItems>
    </cacheField>
    <cacheField name="[Manufacturing].[Manufacturing Plant].[Manufacturing Plant]" caption="Manufacturing Plant" numFmtId="0" hierarchy="3" level="1">
      <sharedItems containsSemiMixedTypes="0" containsNonDate="0" containsString="0"/>
    </cacheField>
  </cacheFields>
  <cacheHierarchies count="31">
    <cacheHierarchy uniqueName="[Manufacturing].[Order ID]" caption="Order ID" attribute="1" defaultMemberUniqueName="[Manufacturing].[Order ID].[All]" allUniqueName="[Manufacturing].[Order ID].[All]" dimensionUniqueName="[Manufacturing]" displayFolder="" count="0" memberValueDatatype="130" unbalanced="0"/>
    <cacheHierarchy uniqueName="[Manufacturing].[Product]" caption="Product" attribute="1" defaultMemberUniqueName="[Manufacturing].[Product].[All]" allUniqueName="[Manufacturing].[Product].[All]" dimensionUniqueName="[Manufacturing]" displayFolder="" count="0" memberValueDatatype="130" unbalanced="0"/>
    <cacheHierarchy uniqueName="[Manufacturing].[Category]" caption="Category" attribute="1" defaultMemberUniqueName="[Manufacturing].[Category].[All]" allUniqueName="[Manufacturing].[Category].[All]" dimensionUniqueName="[Manufacturing]" displayFolder="" count="2" memberValueDatatype="130" unbalanced="0"/>
    <cacheHierarchy uniqueName="[Manufacturing].[Manufacturing Plant]" caption="Manufacturing Plant" attribute="1" defaultMemberUniqueName="[Manufacturing].[Manufacturing Plant].[All]" allUniqueName="[Manufacturing].[Manufacturing Plant].[All]" dimensionUniqueName="[Manufacturing]" displayFolder="" count="2" memberValueDatatype="130" unbalanced="0">
      <fieldsUsage count="2">
        <fieldUsage x="-1"/>
        <fieldUsage x="3"/>
      </fieldsUsage>
    </cacheHierarchy>
    <cacheHierarchy uniqueName="[Manufacturing].[Production Date]" caption="Production Date" attribute="1" time="1" defaultMemberUniqueName="[Manufacturing].[Production Date].[All]" allUniqueName="[Manufacturing].[Production Date].[All]" dimensionUniqueName="[Manufacturing]" displayFolder="" count="0" memberValueDatatype="7" unbalanced="0"/>
    <cacheHierarchy uniqueName="[Manufacturing].[Quantity Produced]" caption="Quantity Produced" attribute="1" defaultMemberUniqueName="[Manufacturing].[Quantity Produced].[All]" allUniqueName="[Manufacturing].[Quantity Produced].[All]" dimensionUniqueName="[Manufacturing]" displayFolder="" count="0" memberValueDatatype="20" unbalanced="0"/>
    <cacheHierarchy uniqueName="[Manufacturing].[Defects]" caption="Defects" attribute="1" defaultMemberUniqueName="[Manufacturing].[Defects].[All]" allUniqueName="[Manufacturing].[Defects].[All]" dimensionUniqueName="[Manufacturing]" displayFolder="" count="0" memberValueDatatype="20" unbalanced="0"/>
    <cacheHierarchy uniqueName="[Manufacturing].[Downtime (Hours)]" caption="Downtime (Hours)" attribute="1" defaultMemberUniqueName="[Manufacturing].[Downtime (Hours)].[All]" allUniqueName="[Manufacturing].[Downtime (Hours)].[All]" dimensionUniqueName="[Manufacturing]" displayFolder="" count="0" memberValueDatatype="5" unbalanced="0"/>
    <cacheHierarchy uniqueName="[Manufacturing].[Production Cost ($)]" caption="Production Cost ($)" attribute="1" defaultMemberUniqueName="[Manufacturing].[Production Cost ($)].[All]" allUniqueName="[Manufacturing].[Production Cost ($)].[All]" dimensionUniqueName="[Manufacturing]" displayFolder="" count="0" memberValueDatatype="5" unbalanced="0"/>
    <cacheHierarchy uniqueName="[Manufacturing].[Sales Revenue ($)]" caption="Sales Revenue ($)" attribute="1" defaultMemberUniqueName="[Manufacturing].[Sales Revenue ($)].[All]" allUniqueName="[Manufacturing].[Sales Revenue ($)].[All]" dimensionUniqueName="[Manufacturing]" displayFolder="" count="0" memberValueDatatype="5" unbalanced="0"/>
    <cacheHierarchy uniqueName="[Manufacturing].[Efficiency (%)]" caption="Efficiency (%)" attribute="1" defaultMemberUniqueName="[Manufacturing].[Efficiency (%)].[All]" allUniqueName="[Manufacturing].[Efficiency (%)].[All]" dimensionUniqueName="[Manufacturing]" displayFolder="" count="0" memberValueDatatype="5" unbalanced="0"/>
    <cacheHierarchy uniqueName="[Manufacturing].[Supervisor]" caption="Supervisor" attribute="1" defaultMemberUniqueName="[Manufacturing].[Supervisor].[All]" allUniqueName="[Manufacturing].[Supervisor].[All]" dimensionUniqueName="[Manufacturing]" displayFolder="" count="0" memberValueDatatype="130" unbalanced="0"/>
    <cacheHierarchy uniqueName="[Manufacturing].[Production Date (Year)]" caption="Production Date (Year)" attribute="1" defaultMemberUniqueName="[Manufacturing].[Production Date (Year)].[All]" allUniqueName="[Manufacturing].[Production Date (Year)].[All]" dimensionUniqueName="[Manufacturing]" displayFolder="" count="0" memberValueDatatype="130" unbalanced="0"/>
    <cacheHierarchy uniqueName="[Manufacturing].[Production Date (Quarter)]" caption="Production Date (Quarter)" attribute="1" defaultMemberUniqueName="[Manufacturing].[Production Date (Quarter)].[All]" allUniqueName="[Manufacturing].[Production Date (Quarter)].[All]" dimensionUniqueName="[Manufacturing]" displayFolder="" count="0" memberValueDatatype="130" unbalanced="0"/>
    <cacheHierarchy uniqueName="[Manufacturing].[Production Date (Month)]" caption="Production Date (Month)" attribute="1" defaultMemberUniqueName="[Manufacturing].[Production Date (Month)].[All]" allUniqueName="[Manufacturing].[Production Date (Month)].[All]" dimensionUniqueName="[Manufacturing]" displayFolder="" count="2" memberValueDatatype="130" unbalanced="0">
      <fieldsUsage count="2">
        <fieldUsage x="-1"/>
        <fieldUsage x="2"/>
      </fieldsUsage>
    </cacheHierarchy>
    <cacheHierarchy uniqueName="[Manufacturing].[Month]" caption="Month" attribute="1" defaultMemberUniqueName="[Manufacturing].[Month].[All]" allUniqueName="[Manufacturing].[Month].[All]" dimensionUniqueName="[Manufacturing]" displayFolder="" count="0" memberValueDatatype="20" unbalanced="0"/>
    <cacheHierarchy uniqueName="[Manufacturing].[Year]" caption="Year" attribute="1" defaultMemberUniqueName="[Manufacturing].[Year].[All]" allUniqueName="[Manufacturing].[Year].[All]" dimensionUniqueName="[Manufacturing]" displayFolder="" count="0" memberValueDatatype="20" unbalanced="0"/>
    <cacheHierarchy uniqueName="[Manufacturing].[Defect Range]" caption="Defect Range" attribute="1" defaultMemberUniqueName="[Manufacturing].[Defect Range].[All]" allUniqueName="[Manufacturing].[Defect Range].[All]" dimensionUniqueName="[Manufacturing]" displayFolder="" count="0" memberValueDatatype="130" unbalanced="0"/>
    <cacheHierarchy uniqueName="[Manufacturing].[Production Date (Month Index)]" caption="Production Date (Month Index)" attribute="1" defaultMemberUniqueName="[Manufacturing].[Production Date (Month Index)].[All]" allUniqueName="[Manufacturing].[Production Date (Month Index)].[All]" dimensionUniqueName="[Manufacturing]" displayFolder="" count="0" memberValueDatatype="20" unbalanced="0" hidden="1"/>
    <cacheHierarchy uniqueName="[Measures].[__XL_Count Manufacturing]" caption="__XL_Count Manufacturing" measure="1" displayFolder="" measureGroup="Manufacturing" count="0" hidden="1"/>
    <cacheHierarchy uniqueName="[Measures].[__No measures defined]" caption="__No measures defined" measure="1" displayFolder="" count="0" hidden="1"/>
    <cacheHierarchy uniqueName="[Measures].[Sum of Quantity Produced]" caption="Sum of Quantity Produced" measure="1" displayFolder="" measureGroup="Manufacturing" count="0" hidden="1">
      <extLst>
        <ext xmlns:x15="http://schemas.microsoft.com/office/spreadsheetml/2010/11/main" uri="{B97F6D7D-B522-45F9-BDA1-12C45D357490}">
          <x15:cacheHierarchy aggregatedColumn="5"/>
        </ext>
      </extLst>
    </cacheHierarchy>
    <cacheHierarchy uniqueName="[Measures].[Sum of Defects]" caption="Sum of Defects" measure="1" displayFolder="" measureGroup="Manufacturing" count="0" hidden="1">
      <extLst>
        <ext xmlns:x15="http://schemas.microsoft.com/office/spreadsheetml/2010/11/main" uri="{B97F6D7D-B522-45F9-BDA1-12C45D357490}">
          <x15:cacheHierarchy aggregatedColumn="6"/>
        </ext>
      </extLst>
    </cacheHierarchy>
    <cacheHierarchy uniqueName="[Measures].[Sum of Production Cost ($)]" caption="Sum of Production Cost ($)" measure="1" displayFolder="" measureGroup="Manufacturing"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Sales Revenue ($)]" caption="Sum of Sales Revenue ($)" measure="1" displayFolder="" measureGroup="Manufacturing"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Efficiency (%)]" caption="Sum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Average of Efficiency (%)]" caption="Average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Manufacturing" count="0" hidden="1">
      <extLst>
        <ext xmlns:x15="http://schemas.microsoft.com/office/spreadsheetml/2010/11/main" uri="{B97F6D7D-B522-45F9-BDA1-12C45D357490}">
          <x15:cacheHierarchy aggregatedColumn="2"/>
        </ext>
      </extLst>
    </cacheHierarchy>
    <cacheHierarchy uniqueName="[Measures].[Count of Production Date]" caption="Count of Production Date" measure="1" displayFolder="" measureGroup="Manufacturing" count="0" hidden="1">
      <extLst>
        <ext xmlns:x15="http://schemas.microsoft.com/office/spreadsheetml/2010/11/main" uri="{B97F6D7D-B522-45F9-BDA1-12C45D357490}">
          <x15:cacheHierarchy aggregatedColumn="4"/>
        </ext>
      </extLst>
    </cacheHierarchy>
    <cacheHierarchy uniqueName="[Measures].[Count of Defect Range]" caption="Count of Defect Range" measure="1" displayFolder="" measureGroup="Manufacturing" count="0" hidden="1">
      <extLst>
        <ext xmlns:x15="http://schemas.microsoft.com/office/spreadsheetml/2010/11/main" uri="{B97F6D7D-B522-45F9-BDA1-12C45D357490}">
          <x15:cacheHierarchy aggregatedColumn="17"/>
        </ext>
      </extLst>
    </cacheHierarchy>
    <cacheHierarchy uniqueName="[Measures].[Sum of Downtime (Hours)]" caption="Sum of Downtime (Hours)" measure="1" displayFolder="" measureGroup="Manufacturing" count="0" hidden="1">
      <extLst>
        <ext xmlns:x15="http://schemas.microsoft.com/office/spreadsheetml/2010/11/main" uri="{B97F6D7D-B522-45F9-BDA1-12C45D357490}">
          <x15:cacheHierarchy aggregatedColumn="7"/>
        </ext>
      </extLst>
    </cacheHierarchy>
  </cacheHierarchies>
  <kpis count="0"/>
  <dimensions count="2">
    <dimension name="Manufacturing" uniqueName="[Manufacturing]" caption="Manufacturing"/>
    <dimension measure="1" name="Measures" uniqueName="[Measures]" caption="Measures"/>
  </dimensions>
  <measureGroups count="1">
    <measureGroup name="Manufacturing" caption="Manufactur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73.448665625001" backgroundQuery="1" createdVersion="8" refreshedVersion="8" minRefreshableVersion="3" recordCount="0" supportSubquery="1" supportAdvancedDrill="1" xr:uid="{E7F5C885-194C-438B-BF77-755F0BE35919}">
  <cacheSource type="external" connectionId="1"/>
  <cacheFields count="2">
    <cacheField name="[Manufacturing].[Manufacturing Plant].[Manufacturing Plant]" caption="Manufacturing Plant" numFmtId="0" hierarchy="3" level="1">
      <sharedItems count="3">
        <s v="Plant A"/>
        <s v="Plant B"/>
        <s v="Plant C"/>
      </sharedItems>
    </cacheField>
    <cacheField name="[Measures].[Sum of Downtime (Hours)]" caption="Sum of Downtime (Hours)" numFmtId="0" hierarchy="30" level="32767"/>
  </cacheFields>
  <cacheHierarchies count="31">
    <cacheHierarchy uniqueName="[Manufacturing].[Order ID]" caption="Order ID" attribute="1" defaultMemberUniqueName="[Manufacturing].[Order ID].[All]" allUniqueName="[Manufacturing].[Order ID].[All]" dimensionUniqueName="[Manufacturing]" displayFolder="" count="0" memberValueDatatype="130" unbalanced="0"/>
    <cacheHierarchy uniqueName="[Manufacturing].[Product]" caption="Product" attribute="1" defaultMemberUniqueName="[Manufacturing].[Product].[All]" allUniqueName="[Manufacturing].[Product].[All]" dimensionUniqueName="[Manufacturing]" displayFolder="" count="0" memberValueDatatype="130" unbalanced="0"/>
    <cacheHierarchy uniqueName="[Manufacturing].[Category]" caption="Category" attribute="1" defaultMemberUniqueName="[Manufacturing].[Category].[All]" allUniqueName="[Manufacturing].[Category].[All]" dimensionUniqueName="[Manufacturing]" displayFolder="" count="2" memberValueDatatype="130" unbalanced="0"/>
    <cacheHierarchy uniqueName="[Manufacturing].[Manufacturing Plant]" caption="Manufacturing Plant" attribute="1" defaultMemberUniqueName="[Manufacturing].[Manufacturing Plant].[All]" allUniqueName="[Manufacturing].[Manufacturing Plant].[All]" dimensionUniqueName="[Manufacturing]" displayFolder="" count="2" memberValueDatatype="130" unbalanced="0">
      <fieldsUsage count="2">
        <fieldUsage x="-1"/>
        <fieldUsage x="0"/>
      </fieldsUsage>
    </cacheHierarchy>
    <cacheHierarchy uniqueName="[Manufacturing].[Production Date]" caption="Production Date" attribute="1" time="1" defaultMemberUniqueName="[Manufacturing].[Production Date].[All]" allUniqueName="[Manufacturing].[Production Date].[All]" dimensionUniqueName="[Manufacturing]" displayFolder="" count="0" memberValueDatatype="7" unbalanced="0"/>
    <cacheHierarchy uniqueName="[Manufacturing].[Quantity Produced]" caption="Quantity Produced" attribute="1" defaultMemberUniqueName="[Manufacturing].[Quantity Produced].[All]" allUniqueName="[Manufacturing].[Quantity Produced].[All]" dimensionUniqueName="[Manufacturing]" displayFolder="" count="0" memberValueDatatype="20" unbalanced="0"/>
    <cacheHierarchy uniqueName="[Manufacturing].[Defects]" caption="Defects" attribute="1" defaultMemberUniqueName="[Manufacturing].[Defects].[All]" allUniqueName="[Manufacturing].[Defects].[All]" dimensionUniqueName="[Manufacturing]" displayFolder="" count="0" memberValueDatatype="20" unbalanced="0"/>
    <cacheHierarchy uniqueName="[Manufacturing].[Downtime (Hours)]" caption="Downtime (Hours)" attribute="1" defaultMemberUniqueName="[Manufacturing].[Downtime (Hours)].[All]" allUniqueName="[Manufacturing].[Downtime (Hours)].[All]" dimensionUniqueName="[Manufacturing]" displayFolder="" count="0" memberValueDatatype="5" unbalanced="0"/>
    <cacheHierarchy uniqueName="[Manufacturing].[Production Cost ($)]" caption="Production Cost ($)" attribute="1" defaultMemberUniqueName="[Manufacturing].[Production Cost ($)].[All]" allUniqueName="[Manufacturing].[Production Cost ($)].[All]" dimensionUniqueName="[Manufacturing]" displayFolder="" count="0" memberValueDatatype="5" unbalanced="0"/>
    <cacheHierarchy uniqueName="[Manufacturing].[Sales Revenue ($)]" caption="Sales Revenue ($)" attribute="1" defaultMemberUniqueName="[Manufacturing].[Sales Revenue ($)].[All]" allUniqueName="[Manufacturing].[Sales Revenue ($)].[All]" dimensionUniqueName="[Manufacturing]" displayFolder="" count="0" memberValueDatatype="5" unbalanced="0"/>
    <cacheHierarchy uniqueName="[Manufacturing].[Efficiency (%)]" caption="Efficiency (%)" attribute="1" defaultMemberUniqueName="[Manufacturing].[Efficiency (%)].[All]" allUniqueName="[Manufacturing].[Efficiency (%)].[All]" dimensionUniqueName="[Manufacturing]" displayFolder="" count="0" memberValueDatatype="5" unbalanced="0"/>
    <cacheHierarchy uniqueName="[Manufacturing].[Supervisor]" caption="Supervisor" attribute="1" defaultMemberUniqueName="[Manufacturing].[Supervisor].[All]" allUniqueName="[Manufacturing].[Supervisor].[All]" dimensionUniqueName="[Manufacturing]" displayFolder="" count="0" memberValueDatatype="130" unbalanced="0"/>
    <cacheHierarchy uniqueName="[Manufacturing].[Production Date (Year)]" caption="Production Date (Year)" attribute="1" defaultMemberUniqueName="[Manufacturing].[Production Date (Year)].[All]" allUniqueName="[Manufacturing].[Production Date (Year)].[All]" dimensionUniqueName="[Manufacturing]" displayFolder="" count="0" memberValueDatatype="130" unbalanced="0"/>
    <cacheHierarchy uniqueName="[Manufacturing].[Production Date (Quarter)]" caption="Production Date (Quarter)" attribute="1" defaultMemberUniqueName="[Manufacturing].[Production Date (Quarter)].[All]" allUniqueName="[Manufacturing].[Production Date (Quarter)].[All]" dimensionUniqueName="[Manufacturing]" displayFolder="" count="0" memberValueDatatype="130" unbalanced="0"/>
    <cacheHierarchy uniqueName="[Manufacturing].[Production Date (Month)]" caption="Production Date (Month)" attribute="1" defaultMemberUniqueName="[Manufacturing].[Production Date (Month)].[All]" allUniqueName="[Manufacturing].[Production Date (Month)].[All]" dimensionUniqueName="[Manufacturing]" displayFolder="" count="0" memberValueDatatype="130" unbalanced="0"/>
    <cacheHierarchy uniqueName="[Manufacturing].[Month]" caption="Month" attribute="1" defaultMemberUniqueName="[Manufacturing].[Month].[All]" allUniqueName="[Manufacturing].[Month].[All]" dimensionUniqueName="[Manufacturing]" displayFolder="" count="2" memberValueDatatype="20" unbalanced="0"/>
    <cacheHierarchy uniqueName="[Manufacturing].[Year]" caption="Year" attribute="1" defaultMemberUniqueName="[Manufacturing].[Year].[All]" allUniqueName="[Manufacturing].[Year].[All]" dimensionUniqueName="[Manufacturing]" displayFolder="" count="0" memberValueDatatype="20" unbalanced="0"/>
    <cacheHierarchy uniqueName="[Manufacturing].[Defect Range]" caption="Defect Range" attribute="1" defaultMemberUniqueName="[Manufacturing].[Defect Range].[All]" allUniqueName="[Manufacturing].[Defect Range].[All]" dimensionUniqueName="[Manufacturing]" displayFolder="" count="0" memberValueDatatype="130" unbalanced="0"/>
    <cacheHierarchy uniqueName="[Manufacturing].[Production Date (Month Index)]" caption="Production Date (Month Index)" attribute="1" defaultMemberUniqueName="[Manufacturing].[Production Date (Month Index)].[All]" allUniqueName="[Manufacturing].[Production Date (Month Index)].[All]" dimensionUniqueName="[Manufacturing]" displayFolder="" count="0" memberValueDatatype="20" unbalanced="0" hidden="1"/>
    <cacheHierarchy uniqueName="[Measures].[__XL_Count Manufacturing]" caption="__XL_Count Manufacturing" measure="1" displayFolder="" measureGroup="Manufacturing" count="0" hidden="1"/>
    <cacheHierarchy uniqueName="[Measures].[__No measures defined]" caption="__No measures defined" measure="1" displayFolder="" count="0" hidden="1"/>
    <cacheHierarchy uniqueName="[Measures].[Sum of Quantity Produced]" caption="Sum of Quantity Produced" measure="1" displayFolder="" measureGroup="Manufacturing" count="0" hidden="1">
      <extLst>
        <ext xmlns:x15="http://schemas.microsoft.com/office/spreadsheetml/2010/11/main" uri="{B97F6D7D-B522-45F9-BDA1-12C45D357490}">
          <x15:cacheHierarchy aggregatedColumn="5"/>
        </ext>
      </extLst>
    </cacheHierarchy>
    <cacheHierarchy uniqueName="[Measures].[Sum of Defects]" caption="Sum of Defects" measure="1" displayFolder="" measureGroup="Manufacturing" count="0" hidden="1">
      <extLst>
        <ext xmlns:x15="http://schemas.microsoft.com/office/spreadsheetml/2010/11/main" uri="{B97F6D7D-B522-45F9-BDA1-12C45D357490}">
          <x15:cacheHierarchy aggregatedColumn="6"/>
        </ext>
      </extLst>
    </cacheHierarchy>
    <cacheHierarchy uniqueName="[Measures].[Sum of Production Cost ($)]" caption="Sum of Production Cost ($)" measure="1" displayFolder="" measureGroup="Manufacturing" count="0" hidden="1">
      <extLst>
        <ext xmlns:x15="http://schemas.microsoft.com/office/spreadsheetml/2010/11/main" uri="{B97F6D7D-B522-45F9-BDA1-12C45D357490}">
          <x15:cacheHierarchy aggregatedColumn="8"/>
        </ext>
      </extLst>
    </cacheHierarchy>
    <cacheHierarchy uniqueName="[Measures].[Sum of Sales Revenue ($)]" caption="Sum of Sales Revenue ($)" measure="1" displayFolder="" measureGroup="Manufacturing" count="0" hidden="1">
      <extLst>
        <ext xmlns:x15="http://schemas.microsoft.com/office/spreadsheetml/2010/11/main" uri="{B97F6D7D-B522-45F9-BDA1-12C45D357490}">
          <x15:cacheHierarchy aggregatedColumn="9"/>
        </ext>
      </extLst>
    </cacheHierarchy>
    <cacheHierarchy uniqueName="[Measures].[Sum of Efficiency (%)]" caption="Sum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Average of Efficiency (%)]" caption="Average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Manufacturing" count="0" hidden="1">
      <extLst>
        <ext xmlns:x15="http://schemas.microsoft.com/office/spreadsheetml/2010/11/main" uri="{B97F6D7D-B522-45F9-BDA1-12C45D357490}">
          <x15:cacheHierarchy aggregatedColumn="2"/>
        </ext>
      </extLst>
    </cacheHierarchy>
    <cacheHierarchy uniqueName="[Measures].[Count of Production Date]" caption="Count of Production Date" measure="1" displayFolder="" measureGroup="Manufacturing" count="0" hidden="1">
      <extLst>
        <ext xmlns:x15="http://schemas.microsoft.com/office/spreadsheetml/2010/11/main" uri="{B97F6D7D-B522-45F9-BDA1-12C45D357490}">
          <x15:cacheHierarchy aggregatedColumn="4"/>
        </ext>
      </extLst>
    </cacheHierarchy>
    <cacheHierarchy uniqueName="[Measures].[Count of Defect Range]" caption="Count of Defect Range" measure="1" displayFolder="" measureGroup="Manufacturing" count="0" hidden="1">
      <extLst>
        <ext xmlns:x15="http://schemas.microsoft.com/office/spreadsheetml/2010/11/main" uri="{B97F6D7D-B522-45F9-BDA1-12C45D357490}">
          <x15:cacheHierarchy aggregatedColumn="17"/>
        </ext>
      </extLst>
    </cacheHierarchy>
    <cacheHierarchy uniqueName="[Measures].[Sum of Downtime (Hours)]" caption="Sum of Downtime (Hours)" measure="1" displayFolder="" measureGroup="Manufacturing"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name="Manufacturing" uniqueName="[Manufacturing]" caption="Manufacturing"/>
    <dimension measure="1" name="Measures" uniqueName="[Measures]" caption="Measures"/>
  </dimensions>
  <measureGroups count="1">
    <measureGroup name="Manufacturing" caption="Manufactur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73.44866736111" backgroundQuery="1" createdVersion="8" refreshedVersion="8" minRefreshableVersion="3" recordCount="0" supportSubquery="1" supportAdvancedDrill="1" xr:uid="{4586965A-C5F6-40FB-A21E-C9A506C0A79B}">
  <cacheSource type="external" connectionId="1"/>
  <cacheFields count="4">
    <cacheField name="[Manufacturing].[Category].[Category]" caption="Category" numFmtId="0" hierarchy="2" level="1">
      <sharedItems count="3">
        <s v="Electronics"/>
        <s v="Mechanical"/>
        <s v="Tools"/>
      </sharedItems>
    </cacheField>
    <cacheField name="[Measures].[Sum of Downtime (Hours)]" caption="Sum of Downtime (Hours)" numFmtId="0" hierarchy="30" level="32767"/>
    <cacheField name="[Measures].[Average of Efficiency (%)]" caption="Average of Efficiency (%)" numFmtId="0" hierarchy="26" level="32767"/>
    <cacheField name="[Manufacturing].[Manufacturing Plant].[Manufacturing Plant]" caption="Manufacturing Plant" numFmtId="0" hierarchy="3" level="1">
      <sharedItems containsSemiMixedTypes="0" containsNonDate="0" containsString="0"/>
    </cacheField>
  </cacheFields>
  <cacheHierarchies count="31">
    <cacheHierarchy uniqueName="[Manufacturing].[Order ID]" caption="Order ID" attribute="1" defaultMemberUniqueName="[Manufacturing].[Order ID].[All]" allUniqueName="[Manufacturing].[Order ID].[All]" dimensionUniqueName="[Manufacturing]" displayFolder="" count="0" memberValueDatatype="130" unbalanced="0"/>
    <cacheHierarchy uniqueName="[Manufacturing].[Product]" caption="Product" attribute="1" defaultMemberUniqueName="[Manufacturing].[Product].[All]" allUniqueName="[Manufacturing].[Product].[All]" dimensionUniqueName="[Manufacturing]" displayFolder="" count="0" memberValueDatatype="130" unbalanced="0"/>
    <cacheHierarchy uniqueName="[Manufacturing].[Category]" caption="Category" attribute="1" defaultMemberUniqueName="[Manufacturing].[Category].[All]" allUniqueName="[Manufacturing].[Category].[All]" dimensionUniqueName="[Manufacturing]" displayFolder="" count="2" memberValueDatatype="130" unbalanced="0">
      <fieldsUsage count="2">
        <fieldUsage x="-1"/>
        <fieldUsage x="0"/>
      </fieldsUsage>
    </cacheHierarchy>
    <cacheHierarchy uniqueName="[Manufacturing].[Manufacturing Plant]" caption="Manufacturing Plant" attribute="1" defaultMemberUniqueName="[Manufacturing].[Manufacturing Plant].[All]" allUniqueName="[Manufacturing].[Manufacturing Plant].[All]" dimensionUniqueName="[Manufacturing]" displayFolder="" count="2" memberValueDatatype="130" unbalanced="0">
      <fieldsUsage count="2">
        <fieldUsage x="-1"/>
        <fieldUsage x="3"/>
      </fieldsUsage>
    </cacheHierarchy>
    <cacheHierarchy uniqueName="[Manufacturing].[Production Date]" caption="Production Date" attribute="1" time="1" defaultMemberUniqueName="[Manufacturing].[Production Date].[All]" allUniqueName="[Manufacturing].[Production Date].[All]" dimensionUniqueName="[Manufacturing]" displayFolder="" count="0" memberValueDatatype="7" unbalanced="0"/>
    <cacheHierarchy uniqueName="[Manufacturing].[Quantity Produced]" caption="Quantity Produced" attribute="1" defaultMemberUniqueName="[Manufacturing].[Quantity Produced].[All]" allUniqueName="[Manufacturing].[Quantity Produced].[All]" dimensionUniqueName="[Manufacturing]" displayFolder="" count="0" memberValueDatatype="20" unbalanced="0"/>
    <cacheHierarchy uniqueName="[Manufacturing].[Defects]" caption="Defects" attribute="1" defaultMemberUniqueName="[Manufacturing].[Defects].[All]" allUniqueName="[Manufacturing].[Defects].[All]" dimensionUniqueName="[Manufacturing]" displayFolder="" count="0" memberValueDatatype="20" unbalanced="0"/>
    <cacheHierarchy uniqueName="[Manufacturing].[Downtime (Hours)]" caption="Downtime (Hours)" attribute="1" defaultMemberUniqueName="[Manufacturing].[Downtime (Hours)].[All]" allUniqueName="[Manufacturing].[Downtime (Hours)].[All]" dimensionUniqueName="[Manufacturing]" displayFolder="" count="0" memberValueDatatype="5" unbalanced="0"/>
    <cacheHierarchy uniqueName="[Manufacturing].[Production Cost ($)]" caption="Production Cost ($)" attribute="1" defaultMemberUniqueName="[Manufacturing].[Production Cost ($)].[All]" allUniqueName="[Manufacturing].[Production Cost ($)].[All]" dimensionUniqueName="[Manufacturing]" displayFolder="" count="0" memberValueDatatype="5" unbalanced="0"/>
    <cacheHierarchy uniqueName="[Manufacturing].[Sales Revenue ($)]" caption="Sales Revenue ($)" attribute="1" defaultMemberUniqueName="[Manufacturing].[Sales Revenue ($)].[All]" allUniqueName="[Manufacturing].[Sales Revenue ($)].[All]" dimensionUniqueName="[Manufacturing]" displayFolder="" count="0" memberValueDatatype="5" unbalanced="0"/>
    <cacheHierarchy uniqueName="[Manufacturing].[Efficiency (%)]" caption="Efficiency (%)" attribute="1" defaultMemberUniqueName="[Manufacturing].[Efficiency (%)].[All]" allUniqueName="[Manufacturing].[Efficiency (%)].[All]" dimensionUniqueName="[Manufacturing]" displayFolder="" count="0" memberValueDatatype="5" unbalanced="0"/>
    <cacheHierarchy uniqueName="[Manufacturing].[Supervisor]" caption="Supervisor" attribute="1" defaultMemberUniqueName="[Manufacturing].[Supervisor].[All]" allUniqueName="[Manufacturing].[Supervisor].[All]" dimensionUniqueName="[Manufacturing]" displayFolder="" count="0" memberValueDatatype="130" unbalanced="0"/>
    <cacheHierarchy uniqueName="[Manufacturing].[Production Date (Year)]" caption="Production Date (Year)" attribute="1" defaultMemberUniqueName="[Manufacturing].[Production Date (Year)].[All]" allUniqueName="[Manufacturing].[Production Date (Year)].[All]" dimensionUniqueName="[Manufacturing]" displayFolder="" count="0" memberValueDatatype="130" unbalanced="0"/>
    <cacheHierarchy uniqueName="[Manufacturing].[Production Date (Quarter)]" caption="Production Date (Quarter)" attribute="1" defaultMemberUniqueName="[Manufacturing].[Production Date (Quarter)].[All]" allUniqueName="[Manufacturing].[Production Date (Quarter)].[All]" dimensionUniqueName="[Manufacturing]" displayFolder="" count="0" memberValueDatatype="130" unbalanced="0"/>
    <cacheHierarchy uniqueName="[Manufacturing].[Production Date (Month)]" caption="Production Date (Month)" attribute="1" defaultMemberUniqueName="[Manufacturing].[Production Date (Month)].[All]" allUniqueName="[Manufacturing].[Production Date (Month)].[All]" dimensionUniqueName="[Manufacturing]" displayFolder="" count="0" memberValueDatatype="130" unbalanced="0"/>
    <cacheHierarchy uniqueName="[Manufacturing].[Month]" caption="Month" attribute="1" defaultMemberUniqueName="[Manufacturing].[Month].[All]" allUniqueName="[Manufacturing].[Month].[All]" dimensionUniqueName="[Manufacturing]" displayFolder="" count="2" memberValueDatatype="20" unbalanced="0"/>
    <cacheHierarchy uniqueName="[Manufacturing].[Year]" caption="Year" attribute="1" defaultMemberUniqueName="[Manufacturing].[Year].[All]" allUniqueName="[Manufacturing].[Year].[All]" dimensionUniqueName="[Manufacturing]" displayFolder="" count="0" memberValueDatatype="20" unbalanced="0"/>
    <cacheHierarchy uniqueName="[Manufacturing].[Defect Range]" caption="Defect Range" attribute="1" defaultMemberUniqueName="[Manufacturing].[Defect Range].[All]" allUniqueName="[Manufacturing].[Defect Range].[All]" dimensionUniqueName="[Manufacturing]" displayFolder="" count="0" memberValueDatatype="130" unbalanced="0"/>
    <cacheHierarchy uniqueName="[Manufacturing].[Production Date (Month Index)]" caption="Production Date (Month Index)" attribute="1" defaultMemberUniqueName="[Manufacturing].[Production Date (Month Index)].[All]" allUniqueName="[Manufacturing].[Production Date (Month Index)].[All]" dimensionUniqueName="[Manufacturing]" displayFolder="" count="0" memberValueDatatype="20" unbalanced="0" hidden="1"/>
    <cacheHierarchy uniqueName="[Measures].[__XL_Count Manufacturing]" caption="__XL_Count Manufacturing" measure="1" displayFolder="" measureGroup="Manufacturing" count="0" hidden="1"/>
    <cacheHierarchy uniqueName="[Measures].[__No measures defined]" caption="__No measures defined" measure="1" displayFolder="" count="0" hidden="1"/>
    <cacheHierarchy uniqueName="[Measures].[Sum of Quantity Produced]" caption="Sum of Quantity Produced" measure="1" displayFolder="" measureGroup="Manufacturing" count="0" hidden="1">
      <extLst>
        <ext xmlns:x15="http://schemas.microsoft.com/office/spreadsheetml/2010/11/main" uri="{B97F6D7D-B522-45F9-BDA1-12C45D357490}">
          <x15:cacheHierarchy aggregatedColumn="5"/>
        </ext>
      </extLst>
    </cacheHierarchy>
    <cacheHierarchy uniqueName="[Measures].[Sum of Defects]" caption="Sum of Defects" measure="1" displayFolder="" measureGroup="Manufacturing" count="0" hidden="1">
      <extLst>
        <ext xmlns:x15="http://schemas.microsoft.com/office/spreadsheetml/2010/11/main" uri="{B97F6D7D-B522-45F9-BDA1-12C45D357490}">
          <x15:cacheHierarchy aggregatedColumn="6"/>
        </ext>
      </extLst>
    </cacheHierarchy>
    <cacheHierarchy uniqueName="[Measures].[Sum of Production Cost ($)]" caption="Sum of Production Cost ($)" measure="1" displayFolder="" measureGroup="Manufacturing" count="0" hidden="1">
      <extLst>
        <ext xmlns:x15="http://schemas.microsoft.com/office/spreadsheetml/2010/11/main" uri="{B97F6D7D-B522-45F9-BDA1-12C45D357490}">
          <x15:cacheHierarchy aggregatedColumn="8"/>
        </ext>
      </extLst>
    </cacheHierarchy>
    <cacheHierarchy uniqueName="[Measures].[Sum of Sales Revenue ($)]" caption="Sum of Sales Revenue ($)" measure="1" displayFolder="" measureGroup="Manufacturing" count="0" hidden="1">
      <extLst>
        <ext xmlns:x15="http://schemas.microsoft.com/office/spreadsheetml/2010/11/main" uri="{B97F6D7D-B522-45F9-BDA1-12C45D357490}">
          <x15:cacheHierarchy aggregatedColumn="9"/>
        </ext>
      </extLst>
    </cacheHierarchy>
    <cacheHierarchy uniqueName="[Measures].[Sum of Efficiency (%)]" caption="Sum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Average of Efficiency (%)]" caption="Average of Efficiency (%)" measure="1" displayFolder="" measureGroup="Manufacturing"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Manufacturing" count="0" hidden="1">
      <extLst>
        <ext xmlns:x15="http://schemas.microsoft.com/office/spreadsheetml/2010/11/main" uri="{B97F6D7D-B522-45F9-BDA1-12C45D357490}">
          <x15:cacheHierarchy aggregatedColumn="2"/>
        </ext>
      </extLst>
    </cacheHierarchy>
    <cacheHierarchy uniqueName="[Measures].[Count of Production Date]" caption="Count of Production Date" measure="1" displayFolder="" measureGroup="Manufacturing" count="0" hidden="1">
      <extLst>
        <ext xmlns:x15="http://schemas.microsoft.com/office/spreadsheetml/2010/11/main" uri="{B97F6D7D-B522-45F9-BDA1-12C45D357490}">
          <x15:cacheHierarchy aggregatedColumn="4"/>
        </ext>
      </extLst>
    </cacheHierarchy>
    <cacheHierarchy uniqueName="[Measures].[Count of Defect Range]" caption="Count of Defect Range" measure="1" displayFolder="" measureGroup="Manufacturing" count="0" hidden="1">
      <extLst>
        <ext xmlns:x15="http://schemas.microsoft.com/office/spreadsheetml/2010/11/main" uri="{B97F6D7D-B522-45F9-BDA1-12C45D357490}">
          <x15:cacheHierarchy aggregatedColumn="17"/>
        </ext>
      </extLst>
    </cacheHierarchy>
    <cacheHierarchy uniqueName="[Measures].[Sum of Downtime (Hours)]" caption="Sum of Downtime (Hours)" measure="1" displayFolder="" measureGroup="Manufacturing"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name="Manufacturing" uniqueName="[Manufacturing]" caption="Manufacturing"/>
    <dimension measure="1" name="Measures" uniqueName="[Measures]" caption="Measures"/>
  </dimensions>
  <measureGroups count="1">
    <measureGroup name="Manufacturing" caption="Manufactur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73.448669328704" backgroundQuery="1" createdVersion="8" refreshedVersion="8" minRefreshableVersion="3" recordCount="0" supportSubquery="1" supportAdvancedDrill="1" xr:uid="{4D53BFC6-8745-4550-A322-A24B97CA2C11}">
  <cacheSource type="external" connectionId="1"/>
  <cacheFields count="4">
    <cacheField name="[Measures].[Sum of Downtime (Hours)]" caption="Sum of Downtime (Hours)" numFmtId="0" hierarchy="30" level="32767"/>
    <cacheField name="[Measures].[Average of Efficiency (%)]" caption="Average of Efficiency (%)" numFmtId="0" hierarchy="26" level="32767"/>
    <cacheField name="[Manufacturing].[Production Date (Month)].[Production Date (Month)]" caption="Production Date (Month)" numFmtId="0" hierarchy="14" level="1">
      <sharedItems count="12">
        <s v="Jan"/>
        <s v="Feb"/>
        <s v="Mar"/>
        <s v="Apr"/>
        <s v="May"/>
        <s v="Jun"/>
        <s v="Jul"/>
        <s v="Aug"/>
        <s v="Sep"/>
        <s v="Oct"/>
        <s v="Nov"/>
        <s v="Dec"/>
      </sharedItems>
    </cacheField>
    <cacheField name="[Manufacturing].[Manufacturing Plant].[Manufacturing Plant]" caption="Manufacturing Plant" numFmtId="0" hierarchy="3" level="1">
      <sharedItems containsSemiMixedTypes="0" containsNonDate="0" containsString="0"/>
    </cacheField>
  </cacheFields>
  <cacheHierarchies count="31">
    <cacheHierarchy uniqueName="[Manufacturing].[Order ID]" caption="Order ID" attribute="1" defaultMemberUniqueName="[Manufacturing].[Order ID].[All]" allUniqueName="[Manufacturing].[Order ID].[All]" dimensionUniqueName="[Manufacturing]" displayFolder="" count="0" memberValueDatatype="130" unbalanced="0"/>
    <cacheHierarchy uniqueName="[Manufacturing].[Product]" caption="Product" attribute="1" defaultMemberUniqueName="[Manufacturing].[Product].[All]" allUniqueName="[Manufacturing].[Product].[All]" dimensionUniqueName="[Manufacturing]" displayFolder="" count="0" memberValueDatatype="130" unbalanced="0"/>
    <cacheHierarchy uniqueName="[Manufacturing].[Category]" caption="Category" attribute="1" defaultMemberUniqueName="[Manufacturing].[Category].[All]" allUniqueName="[Manufacturing].[Category].[All]" dimensionUniqueName="[Manufacturing]" displayFolder="" count="2" memberValueDatatype="130" unbalanced="0"/>
    <cacheHierarchy uniqueName="[Manufacturing].[Manufacturing Plant]" caption="Manufacturing Plant" attribute="1" defaultMemberUniqueName="[Manufacturing].[Manufacturing Plant].[All]" allUniqueName="[Manufacturing].[Manufacturing Plant].[All]" dimensionUniqueName="[Manufacturing]" displayFolder="" count="2" memberValueDatatype="130" unbalanced="0">
      <fieldsUsage count="2">
        <fieldUsage x="-1"/>
        <fieldUsage x="3"/>
      </fieldsUsage>
    </cacheHierarchy>
    <cacheHierarchy uniqueName="[Manufacturing].[Production Date]" caption="Production Date" attribute="1" time="1" defaultMemberUniqueName="[Manufacturing].[Production Date].[All]" allUniqueName="[Manufacturing].[Production Date].[All]" dimensionUniqueName="[Manufacturing]" displayFolder="" count="0" memberValueDatatype="7" unbalanced="0"/>
    <cacheHierarchy uniqueName="[Manufacturing].[Quantity Produced]" caption="Quantity Produced" attribute="1" defaultMemberUniqueName="[Manufacturing].[Quantity Produced].[All]" allUniqueName="[Manufacturing].[Quantity Produced].[All]" dimensionUniqueName="[Manufacturing]" displayFolder="" count="0" memberValueDatatype="20" unbalanced="0"/>
    <cacheHierarchy uniqueName="[Manufacturing].[Defects]" caption="Defects" attribute="1" defaultMemberUniqueName="[Manufacturing].[Defects].[All]" allUniqueName="[Manufacturing].[Defects].[All]" dimensionUniqueName="[Manufacturing]" displayFolder="" count="0" memberValueDatatype="20" unbalanced="0"/>
    <cacheHierarchy uniqueName="[Manufacturing].[Downtime (Hours)]" caption="Downtime (Hours)" attribute="1" defaultMemberUniqueName="[Manufacturing].[Downtime (Hours)].[All]" allUniqueName="[Manufacturing].[Downtime (Hours)].[All]" dimensionUniqueName="[Manufacturing]" displayFolder="" count="0" memberValueDatatype="5" unbalanced="0"/>
    <cacheHierarchy uniqueName="[Manufacturing].[Production Cost ($)]" caption="Production Cost ($)" attribute="1" defaultMemberUniqueName="[Manufacturing].[Production Cost ($)].[All]" allUniqueName="[Manufacturing].[Production Cost ($)].[All]" dimensionUniqueName="[Manufacturing]" displayFolder="" count="0" memberValueDatatype="5" unbalanced="0"/>
    <cacheHierarchy uniqueName="[Manufacturing].[Sales Revenue ($)]" caption="Sales Revenue ($)" attribute="1" defaultMemberUniqueName="[Manufacturing].[Sales Revenue ($)].[All]" allUniqueName="[Manufacturing].[Sales Revenue ($)].[All]" dimensionUniqueName="[Manufacturing]" displayFolder="" count="0" memberValueDatatype="5" unbalanced="0"/>
    <cacheHierarchy uniqueName="[Manufacturing].[Efficiency (%)]" caption="Efficiency (%)" attribute="1" defaultMemberUniqueName="[Manufacturing].[Efficiency (%)].[All]" allUniqueName="[Manufacturing].[Efficiency (%)].[All]" dimensionUniqueName="[Manufacturing]" displayFolder="" count="0" memberValueDatatype="5" unbalanced="0"/>
    <cacheHierarchy uniqueName="[Manufacturing].[Supervisor]" caption="Supervisor" attribute="1" defaultMemberUniqueName="[Manufacturing].[Supervisor].[All]" allUniqueName="[Manufacturing].[Supervisor].[All]" dimensionUniqueName="[Manufacturing]" displayFolder="" count="0" memberValueDatatype="130" unbalanced="0"/>
    <cacheHierarchy uniqueName="[Manufacturing].[Production Date (Year)]" caption="Production Date (Year)" attribute="1" defaultMemberUniqueName="[Manufacturing].[Production Date (Year)].[All]" allUniqueName="[Manufacturing].[Production Date (Year)].[All]" dimensionUniqueName="[Manufacturing]" displayFolder="" count="0" memberValueDatatype="130" unbalanced="0"/>
    <cacheHierarchy uniqueName="[Manufacturing].[Production Date (Quarter)]" caption="Production Date (Quarter)" attribute="1" defaultMemberUniqueName="[Manufacturing].[Production Date (Quarter)].[All]" allUniqueName="[Manufacturing].[Production Date (Quarter)].[All]" dimensionUniqueName="[Manufacturing]" displayFolder="" count="0" memberValueDatatype="130" unbalanced="0"/>
    <cacheHierarchy uniqueName="[Manufacturing].[Production Date (Month)]" caption="Production Date (Month)" attribute="1" defaultMemberUniqueName="[Manufacturing].[Production Date (Month)].[All]" allUniqueName="[Manufacturing].[Production Date (Month)].[All]" dimensionUniqueName="[Manufacturing]" displayFolder="" count="2" memberValueDatatype="130" unbalanced="0">
      <fieldsUsage count="2">
        <fieldUsage x="-1"/>
        <fieldUsage x="2"/>
      </fieldsUsage>
    </cacheHierarchy>
    <cacheHierarchy uniqueName="[Manufacturing].[Month]" caption="Month" attribute="1" defaultMemberUniqueName="[Manufacturing].[Month].[All]" allUniqueName="[Manufacturing].[Month].[All]" dimensionUniqueName="[Manufacturing]" displayFolder="" count="2" memberValueDatatype="20" unbalanced="0"/>
    <cacheHierarchy uniqueName="[Manufacturing].[Year]" caption="Year" attribute="1" defaultMemberUniqueName="[Manufacturing].[Year].[All]" allUniqueName="[Manufacturing].[Year].[All]" dimensionUniqueName="[Manufacturing]" displayFolder="" count="0" memberValueDatatype="20" unbalanced="0"/>
    <cacheHierarchy uniqueName="[Manufacturing].[Defect Range]" caption="Defect Range" attribute="1" defaultMemberUniqueName="[Manufacturing].[Defect Range].[All]" allUniqueName="[Manufacturing].[Defect Range].[All]" dimensionUniqueName="[Manufacturing]" displayFolder="" count="0" memberValueDatatype="130" unbalanced="0"/>
    <cacheHierarchy uniqueName="[Manufacturing].[Production Date (Month Index)]" caption="Production Date (Month Index)" attribute="1" defaultMemberUniqueName="[Manufacturing].[Production Date (Month Index)].[All]" allUniqueName="[Manufacturing].[Production Date (Month Index)].[All]" dimensionUniqueName="[Manufacturing]" displayFolder="" count="0" memberValueDatatype="20" unbalanced="0" hidden="1"/>
    <cacheHierarchy uniqueName="[Measures].[__XL_Count Manufacturing]" caption="__XL_Count Manufacturing" measure="1" displayFolder="" measureGroup="Manufacturing" count="0" hidden="1"/>
    <cacheHierarchy uniqueName="[Measures].[__No measures defined]" caption="__No measures defined" measure="1" displayFolder="" count="0" hidden="1"/>
    <cacheHierarchy uniqueName="[Measures].[Sum of Quantity Produced]" caption="Sum of Quantity Produced" measure="1" displayFolder="" measureGroup="Manufacturing" count="0" hidden="1">
      <extLst>
        <ext xmlns:x15="http://schemas.microsoft.com/office/spreadsheetml/2010/11/main" uri="{B97F6D7D-B522-45F9-BDA1-12C45D357490}">
          <x15:cacheHierarchy aggregatedColumn="5"/>
        </ext>
      </extLst>
    </cacheHierarchy>
    <cacheHierarchy uniqueName="[Measures].[Sum of Defects]" caption="Sum of Defects" measure="1" displayFolder="" measureGroup="Manufacturing" count="0" hidden="1">
      <extLst>
        <ext xmlns:x15="http://schemas.microsoft.com/office/spreadsheetml/2010/11/main" uri="{B97F6D7D-B522-45F9-BDA1-12C45D357490}">
          <x15:cacheHierarchy aggregatedColumn="6"/>
        </ext>
      </extLst>
    </cacheHierarchy>
    <cacheHierarchy uniqueName="[Measures].[Sum of Production Cost ($)]" caption="Sum of Production Cost ($)" measure="1" displayFolder="" measureGroup="Manufacturing" count="0" hidden="1">
      <extLst>
        <ext xmlns:x15="http://schemas.microsoft.com/office/spreadsheetml/2010/11/main" uri="{B97F6D7D-B522-45F9-BDA1-12C45D357490}">
          <x15:cacheHierarchy aggregatedColumn="8"/>
        </ext>
      </extLst>
    </cacheHierarchy>
    <cacheHierarchy uniqueName="[Measures].[Sum of Sales Revenue ($)]" caption="Sum of Sales Revenue ($)" measure="1" displayFolder="" measureGroup="Manufacturing" count="0" hidden="1">
      <extLst>
        <ext xmlns:x15="http://schemas.microsoft.com/office/spreadsheetml/2010/11/main" uri="{B97F6D7D-B522-45F9-BDA1-12C45D357490}">
          <x15:cacheHierarchy aggregatedColumn="9"/>
        </ext>
      </extLst>
    </cacheHierarchy>
    <cacheHierarchy uniqueName="[Measures].[Sum of Efficiency (%)]" caption="Sum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Average of Efficiency (%)]" caption="Average of Efficiency (%)" measure="1" displayFolder="" measureGroup="Manufacturing"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Manufacturing" count="0" hidden="1">
      <extLst>
        <ext xmlns:x15="http://schemas.microsoft.com/office/spreadsheetml/2010/11/main" uri="{B97F6D7D-B522-45F9-BDA1-12C45D357490}">
          <x15:cacheHierarchy aggregatedColumn="2"/>
        </ext>
      </extLst>
    </cacheHierarchy>
    <cacheHierarchy uniqueName="[Measures].[Count of Production Date]" caption="Count of Production Date" measure="1" displayFolder="" measureGroup="Manufacturing" count="0" hidden="1">
      <extLst>
        <ext xmlns:x15="http://schemas.microsoft.com/office/spreadsheetml/2010/11/main" uri="{B97F6D7D-B522-45F9-BDA1-12C45D357490}">
          <x15:cacheHierarchy aggregatedColumn="4"/>
        </ext>
      </extLst>
    </cacheHierarchy>
    <cacheHierarchy uniqueName="[Measures].[Count of Defect Range]" caption="Count of Defect Range" measure="1" displayFolder="" measureGroup="Manufacturing" count="0" hidden="1">
      <extLst>
        <ext xmlns:x15="http://schemas.microsoft.com/office/spreadsheetml/2010/11/main" uri="{B97F6D7D-B522-45F9-BDA1-12C45D357490}">
          <x15:cacheHierarchy aggregatedColumn="17"/>
        </ext>
      </extLst>
    </cacheHierarchy>
    <cacheHierarchy uniqueName="[Measures].[Sum of Downtime (Hours)]" caption="Sum of Downtime (Hours)" measure="1" displayFolder="" measureGroup="Manufacturing"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2">
    <dimension name="Manufacturing" uniqueName="[Manufacturing]" caption="Manufacturing"/>
    <dimension measure="1" name="Measures" uniqueName="[Measures]" caption="Measures"/>
  </dimensions>
  <measureGroups count="1">
    <measureGroup name="Manufacturing" caption="Manufactur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RAMESH" refreshedDate="45958.453651967589" backgroundQuery="1" createdVersion="3" refreshedVersion="8" minRefreshableVersion="3" recordCount="0" supportSubquery="1" supportAdvancedDrill="1" xr:uid="{15A13D60-A86A-420C-A584-979EE8BC95AD}">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Manufacturing].[Order ID]" caption="Order ID" attribute="1" defaultMemberUniqueName="[Manufacturing].[Order ID].[All]" allUniqueName="[Manufacturing].[Order ID].[All]" dimensionUniqueName="[Manufacturing]" displayFolder="" count="0" memberValueDatatype="130" unbalanced="0"/>
    <cacheHierarchy uniqueName="[Manufacturing].[Product]" caption="Product" attribute="1" defaultMemberUniqueName="[Manufacturing].[Product].[All]" allUniqueName="[Manufacturing].[Product].[All]" dimensionUniqueName="[Manufacturing]" displayFolder="" count="2" memberValueDatatype="130" unbalanced="0"/>
    <cacheHierarchy uniqueName="[Manufacturing].[Category]" caption="Category" attribute="1" defaultMemberUniqueName="[Manufacturing].[Category].[All]" allUniqueName="[Manufacturing].[Category].[All]" dimensionUniqueName="[Manufacturing]" displayFolder="" count="2" memberValueDatatype="130" unbalanced="0"/>
    <cacheHierarchy uniqueName="[Manufacturing].[Manufacturing Plant]" caption="Manufacturing Plant" attribute="1" defaultMemberUniqueName="[Manufacturing].[Manufacturing Plant].[All]" allUniqueName="[Manufacturing].[Manufacturing Plant].[All]" dimensionUniqueName="[Manufacturing]" displayFolder="" count="2" memberValueDatatype="130" unbalanced="0"/>
    <cacheHierarchy uniqueName="[Manufacturing].[Production Date]" caption="Production Date" attribute="1" time="1" defaultMemberUniqueName="[Manufacturing].[Production Date].[All]" allUniqueName="[Manufacturing].[Production Date].[All]" dimensionUniqueName="[Manufacturing]" displayFolder="" count="0" memberValueDatatype="7" unbalanced="0"/>
    <cacheHierarchy uniqueName="[Manufacturing].[Quantity Produced]" caption="Quantity Produced" attribute="1" defaultMemberUniqueName="[Manufacturing].[Quantity Produced].[All]" allUniqueName="[Manufacturing].[Quantity Produced].[All]" dimensionUniqueName="[Manufacturing]" displayFolder="" count="0" memberValueDatatype="20" unbalanced="0"/>
    <cacheHierarchy uniqueName="[Manufacturing].[Defects]" caption="Defects" attribute="1" defaultMemberUniqueName="[Manufacturing].[Defects].[All]" allUniqueName="[Manufacturing].[Defects].[All]" dimensionUniqueName="[Manufacturing]" displayFolder="" count="0" memberValueDatatype="20" unbalanced="0"/>
    <cacheHierarchy uniqueName="[Manufacturing].[Downtime (Hours)]" caption="Downtime (Hours)" attribute="1" defaultMemberUniqueName="[Manufacturing].[Downtime (Hours)].[All]" allUniqueName="[Manufacturing].[Downtime (Hours)].[All]" dimensionUniqueName="[Manufacturing]" displayFolder="" count="0" memberValueDatatype="5" unbalanced="0"/>
    <cacheHierarchy uniqueName="[Manufacturing].[Production Cost ($)]" caption="Production Cost ($)" attribute="1" defaultMemberUniqueName="[Manufacturing].[Production Cost ($)].[All]" allUniqueName="[Manufacturing].[Production Cost ($)].[All]" dimensionUniqueName="[Manufacturing]" displayFolder="" count="0" memberValueDatatype="5" unbalanced="0"/>
    <cacheHierarchy uniqueName="[Manufacturing].[Sales Revenue ($)]" caption="Sales Revenue ($)" attribute="1" defaultMemberUniqueName="[Manufacturing].[Sales Revenue ($)].[All]" allUniqueName="[Manufacturing].[Sales Revenue ($)].[All]" dimensionUniqueName="[Manufacturing]" displayFolder="" count="0" memberValueDatatype="5" unbalanced="0"/>
    <cacheHierarchy uniqueName="[Manufacturing].[Efficiency (%)]" caption="Efficiency (%)" attribute="1" defaultMemberUniqueName="[Manufacturing].[Efficiency (%)].[All]" allUniqueName="[Manufacturing].[Efficiency (%)].[All]" dimensionUniqueName="[Manufacturing]" displayFolder="" count="0" memberValueDatatype="5" unbalanced="0"/>
    <cacheHierarchy uniqueName="[Manufacturing].[Supervisor]" caption="Supervisor" attribute="1" defaultMemberUniqueName="[Manufacturing].[Supervisor].[All]" allUniqueName="[Manufacturing].[Supervisor].[All]" dimensionUniqueName="[Manufacturing]" displayFolder="" count="2" memberValueDatatype="130" unbalanced="0"/>
    <cacheHierarchy uniqueName="[Manufacturing].[Production Date (Year)]" caption="Production Date (Year)" attribute="1" defaultMemberUniqueName="[Manufacturing].[Production Date (Year)].[All]" allUniqueName="[Manufacturing].[Production Date (Year)].[All]" dimensionUniqueName="[Manufacturing]" displayFolder="" count="0" memberValueDatatype="130" unbalanced="0"/>
    <cacheHierarchy uniqueName="[Manufacturing].[Production Date (Quarter)]" caption="Production Date (Quarter)" attribute="1" defaultMemberUniqueName="[Manufacturing].[Production Date (Quarter)].[All]" allUniqueName="[Manufacturing].[Production Date (Quarter)].[All]" dimensionUniqueName="[Manufacturing]" displayFolder="" count="0" memberValueDatatype="130" unbalanced="0"/>
    <cacheHierarchy uniqueName="[Manufacturing].[Production Date (Month)]" caption="Production Date (Month)" attribute="1" defaultMemberUniqueName="[Manufacturing].[Production Date (Month)].[All]" allUniqueName="[Manufacturing].[Production Date (Month)].[All]" dimensionUniqueName="[Manufacturing]" displayFolder="" count="0" memberValueDatatype="130" unbalanced="0"/>
    <cacheHierarchy uniqueName="[Manufacturing].[Month]" caption="Month" attribute="1" defaultMemberUniqueName="[Manufacturing].[Month].[All]" allUniqueName="[Manufacturing].[Month].[All]" dimensionUniqueName="[Manufacturing]" displayFolder="" count="2" memberValueDatatype="20" unbalanced="0"/>
    <cacheHierarchy uniqueName="[Manufacturing].[Year]" caption="Year" attribute="1" defaultMemberUniqueName="[Manufacturing].[Year].[All]" allUniqueName="[Manufacturing].[Year].[All]" dimensionUniqueName="[Manufacturing]" displayFolder="" count="2" memberValueDatatype="20" unbalanced="0"/>
    <cacheHierarchy uniqueName="[Manufacturing].[Defect Range]" caption="Defect Range" attribute="1" defaultMemberUniqueName="[Manufacturing].[Defect Range].[All]" allUniqueName="[Manufacturing].[Defect Range].[All]" dimensionUniqueName="[Manufacturing]" displayFolder="" count="0" memberValueDatatype="130" unbalanced="0"/>
    <cacheHierarchy uniqueName="[Manufacturing].[Production Date (Month Index)]" caption="Production Date (Month Index)" attribute="1" defaultMemberUniqueName="[Manufacturing].[Production Date (Month Index)].[All]" allUniqueName="[Manufacturing].[Production Date (Month Index)].[All]" dimensionUniqueName="[Manufacturing]" displayFolder="" count="0" memberValueDatatype="20" unbalanced="0" hidden="1"/>
    <cacheHierarchy uniqueName="[Measures].[__XL_Count Manufacturing]" caption="__XL_Count Manufacturing" measure="1" displayFolder="" measureGroup="Manufacturing" count="0" hidden="1"/>
    <cacheHierarchy uniqueName="[Measures].[__No measures defined]" caption="__No measures defined" measure="1" displayFolder="" count="0" hidden="1"/>
    <cacheHierarchy uniqueName="[Measures].[Sum of Quantity Produced]" caption="Sum of Quantity Produced" measure="1" displayFolder="" measureGroup="Manufacturing" count="0" hidden="1">
      <extLst>
        <ext xmlns:x15="http://schemas.microsoft.com/office/spreadsheetml/2010/11/main" uri="{B97F6D7D-B522-45F9-BDA1-12C45D357490}">
          <x15:cacheHierarchy aggregatedColumn="5"/>
        </ext>
      </extLst>
    </cacheHierarchy>
    <cacheHierarchy uniqueName="[Measures].[Sum of Defects]" caption="Sum of Defects" measure="1" displayFolder="" measureGroup="Manufacturing" count="0" hidden="1">
      <extLst>
        <ext xmlns:x15="http://schemas.microsoft.com/office/spreadsheetml/2010/11/main" uri="{B97F6D7D-B522-45F9-BDA1-12C45D357490}">
          <x15:cacheHierarchy aggregatedColumn="6"/>
        </ext>
      </extLst>
    </cacheHierarchy>
    <cacheHierarchy uniqueName="[Measures].[Sum of Production Cost ($)]" caption="Sum of Production Cost ($)" measure="1" displayFolder="" measureGroup="Manufacturing" count="0" hidden="1">
      <extLst>
        <ext xmlns:x15="http://schemas.microsoft.com/office/spreadsheetml/2010/11/main" uri="{B97F6D7D-B522-45F9-BDA1-12C45D357490}">
          <x15:cacheHierarchy aggregatedColumn="8"/>
        </ext>
      </extLst>
    </cacheHierarchy>
    <cacheHierarchy uniqueName="[Measures].[Sum of Sales Revenue ($)]" caption="Sum of Sales Revenue ($)" measure="1" displayFolder="" measureGroup="Manufacturing" count="0" hidden="1">
      <extLst>
        <ext xmlns:x15="http://schemas.microsoft.com/office/spreadsheetml/2010/11/main" uri="{B97F6D7D-B522-45F9-BDA1-12C45D357490}">
          <x15:cacheHierarchy aggregatedColumn="9"/>
        </ext>
      </extLst>
    </cacheHierarchy>
    <cacheHierarchy uniqueName="[Measures].[Sum of Efficiency (%)]" caption="Sum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Average of Efficiency (%)]" caption="Average of Efficiency (%)" measure="1" displayFolder="" measureGroup="Manufacturing"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Manufacturing" count="0" hidden="1">
      <extLst>
        <ext xmlns:x15="http://schemas.microsoft.com/office/spreadsheetml/2010/11/main" uri="{B97F6D7D-B522-45F9-BDA1-12C45D357490}">
          <x15:cacheHierarchy aggregatedColumn="2"/>
        </ext>
      </extLst>
    </cacheHierarchy>
    <cacheHierarchy uniqueName="[Measures].[Count of Production Date]" caption="Count of Production Date" measure="1" displayFolder="" measureGroup="Manufacturing"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0265625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D461B2-399A-4955-9567-67293E3601EB}" name="PivotTable17" cacheId="1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4">
  <location ref="D33:E38" firstHeaderRow="1" firstDataRow="1" firstDataCol="1"/>
  <pivotFields count="3">
    <pivotField axis="axisRow" allDrilled="1" subtotalTop="0" showAll="0"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Sum of Quantity Produced" fld="1" baseField="0" baseItem="0"/>
  </dataFields>
  <formats count="9">
    <format dxfId="8">
      <pivotArea type="all" dataOnly="0" outline="0" fieldPosition="0"/>
    </format>
    <format dxfId="7">
      <pivotArea outline="0" collapsedLevelsAreSubtotals="1" fieldPosition="0"/>
    </format>
    <format dxfId="6">
      <pivotArea field="0" type="button" dataOnly="0" labelOnly="1" outline="0" axis="axisRow" fieldPosition="0"/>
    </format>
    <format dxfId="5">
      <pivotArea dataOnly="0" labelOnly="1" fieldPosition="0">
        <references count="1">
          <reference field="0" count="0"/>
        </references>
      </pivotArea>
    </format>
    <format dxfId="4">
      <pivotArea type="all" dataOnly="0" outline="0" fieldPosition="0"/>
    </format>
    <format dxfId="3">
      <pivotArea outline="0" collapsedLevelsAreSubtotals="1" fieldPosition="0"/>
    </format>
    <format dxfId="2">
      <pivotArea field="0" type="button" dataOnly="0" labelOnly="1" outline="0" axis="axisRow" fieldPosition="0"/>
    </format>
    <format dxfId="1">
      <pivotArea dataOnly="0" labelOnly="1" fieldPosition="0">
        <references count="1">
          <reference field="0" count="0"/>
        </references>
      </pivotArea>
    </format>
    <format dxfId="0">
      <pivotArea dataOnly="0" labelOnly="1" outline="0" axis="axisValues" fieldPosition="0"/>
    </format>
  </formats>
  <chartFormats count="4">
    <chartFormat chart="24"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Quantity Produced"/>
    <pivotHierarchy dragToData="1"/>
    <pivotHierarchy dragToData="1" caption="Production Cost ($)"/>
    <pivotHierarchy dragToData="1" caption="Sales Revenue ($)"/>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production_dataset.csv!Manufacturing">
        <x15:activeTabTopLevelEntity name="[Manufactur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D1B318-C72C-4065-AF3D-A6AE1392B062}" name="PivotTable15" cacheId="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4">
  <location ref="F15:H20" firstHeaderRow="0" firstDataRow="1"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v="1"/>
    </i>
    <i>
      <x v="4"/>
    </i>
    <i>
      <x/>
    </i>
    <i>
      <x v="3"/>
    </i>
    <i>
      <x v="2"/>
    </i>
  </rowItems>
  <colFields count="1">
    <field x="-2"/>
  </colFields>
  <colItems count="2">
    <i>
      <x/>
    </i>
    <i i="1">
      <x v="1"/>
    </i>
  </colItems>
  <dataFields count="2">
    <dataField name="Sales Revenue ($)" fld="2" baseField="0" baseItem="0"/>
    <dataField name="Production Cost ($)" fld="1" baseField="0" baseItem="0"/>
  </dataFields>
  <formats count="5">
    <format dxfId="13">
      <pivotArea type="all" dataOnly="0" outline="0" fieldPosition="0"/>
    </format>
    <format dxfId="12">
      <pivotArea outline="0" collapsedLevelsAreSubtotals="1" fieldPosition="0"/>
    </format>
    <format dxfId="11">
      <pivotArea field="0" type="button" dataOnly="0" labelOnly="1" outline="0" axis="axisRow" fieldPosition="0"/>
    </format>
    <format dxfId="10">
      <pivotArea dataOnly="0" labelOnly="1" fieldPosition="0">
        <references count="1">
          <reference field="0" count="0"/>
        </references>
      </pivotArea>
    </format>
    <format dxfId="9">
      <pivotArea dataOnly="0" labelOnly="1" outline="0" fieldPosition="0">
        <references count="1">
          <reference field="4294967294" count="2">
            <x v="0"/>
            <x v="1"/>
          </reference>
        </references>
      </pivotArea>
    </format>
  </formats>
  <chartFormats count="4">
    <chartFormat chart="15" format="10" series="1">
      <pivotArea type="data" outline="0" fieldPosition="0">
        <references count="1">
          <reference field="4294967294" count="1" selected="0">
            <x v="0"/>
          </reference>
        </references>
      </pivotArea>
    </chartFormat>
    <chartFormat chart="15" format="11" series="1">
      <pivotArea type="data" outline="0" fieldPosition="0">
        <references count="1">
          <reference field="4294967294" count="1" selected="0">
            <x v="1"/>
          </reference>
        </references>
      </pivotArea>
    </chartFormat>
    <chartFormat chart="17" format="14" series="1">
      <pivotArea type="data" outline="0" fieldPosition="0">
        <references count="1">
          <reference field="4294967294" count="1" selected="0">
            <x v="0"/>
          </reference>
        </references>
      </pivotArea>
    </chartFormat>
    <chartFormat chart="17" format="15" series="1">
      <pivotArea type="data" outline="0" fieldPosition="0">
        <references count="1">
          <reference field="4294967294" count="1" selected="0">
            <x v="1"/>
          </reference>
        </references>
      </pivotArea>
    </chartFormat>
  </chart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Quantity Produced"/>
    <pivotHierarchy dragToData="1"/>
    <pivotHierarchy dragToData="1" caption="Production Cost ($)"/>
    <pivotHierarchy dragToData="1" caption="Sales Revenue ($)"/>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production_dataset.csv!Manufacturing">
        <x15:activeTabTopLevelEntity name="[Manufactur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025005-7B4A-4FF6-9402-781E5EDB7A52}" name="PivotTable14" cacheId="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1">
  <location ref="A14:D27" firstHeaderRow="1" firstDataRow="2"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Fields count="1">
    <field x="1"/>
  </colFields>
  <colItems count="3">
    <i>
      <x/>
    </i>
    <i>
      <x v="1"/>
    </i>
    <i>
      <x v="2"/>
    </i>
  </colItems>
  <dataFields count="1">
    <dataField name="Sum of Sales Revenue ($)" fld="2" baseField="0" baseItem="0" numFmtId="165"/>
  </dataFields>
  <formats count="8">
    <format dxfId="21">
      <pivotArea type="all" dataOnly="0" outline="0" fieldPosition="0"/>
    </format>
    <format dxfId="20">
      <pivotArea outline="0" collapsedLevelsAreSubtotals="1" fieldPosition="0"/>
    </format>
    <format dxfId="19">
      <pivotArea type="origin" dataOnly="0" labelOnly="1" outline="0" fieldPosition="0"/>
    </format>
    <format dxfId="18">
      <pivotArea field="1" type="button" dataOnly="0" labelOnly="1" outline="0" axis="axisCol" fieldPosition="0"/>
    </format>
    <format dxfId="17">
      <pivotArea type="topRight" dataOnly="0" labelOnly="1" outline="0" fieldPosition="0"/>
    </format>
    <format dxfId="16">
      <pivotArea field="0" type="button" dataOnly="0" labelOnly="1" outline="0" axis="axisRow" fieldPosition="0"/>
    </format>
    <format dxfId="15">
      <pivotArea dataOnly="0" labelOnly="1" fieldPosition="0">
        <references count="1">
          <reference field="0" count="0"/>
        </references>
      </pivotArea>
    </format>
    <format dxfId="14">
      <pivotArea dataOnly="0" labelOnly="1" fieldPosition="0">
        <references count="1">
          <reference field="1" count="0"/>
        </references>
      </pivotArea>
    </format>
  </formats>
  <chartFormats count="7">
    <chartFormat chart="11" format="6" series="1">
      <pivotArea type="data" outline="0" fieldPosition="0">
        <references count="2">
          <reference field="4294967294" count="1" selected="0">
            <x v="0"/>
          </reference>
          <reference field="1" count="1" selected="0">
            <x v="0"/>
          </reference>
        </references>
      </pivotArea>
    </chartFormat>
    <chartFormat chart="11" format="7" series="1">
      <pivotArea type="data" outline="0" fieldPosition="0">
        <references count="2">
          <reference field="4294967294" count="1" selected="0">
            <x v="0"/>
          </reference>
          <reference field="1" count="1" selected="0">
            <x v="1"/>
          </reference>
        </references>
      </pivotArea>
    </chartFormat>
    <chartFormat chart="11" format="8" series="1">
      <pivotArea type="data" outline="0" fieldPosition="0">
        <references count="2">
          <reference field="4294967294" count="1" selected="0">
            <x v="0"/>
          </reference>
          <reference field="1" count="1" selected="0">
            <x v="2"/>
          </reference>
        </references>
      </pivotArea>
    </chartFormat>
    <chartFormat chart="11" format="9" series="1">
      <pivotArea type="data" outline="0" fieldPosition="0">
        <references count="1">
          <reference field="4294967294" count="1" selected="0">
            <x v="0"/>
          </reference>
        </references>
      </pivotArea>
    </chartFormat>
    <chartFormat chart="13" format="13" series="1">
      <pivotArea type="data" outline="0" fieldPosition="0">
        <references count="2">
          <reference field="4294967294" count="1" selected="0">
            <x v="0"/>
          </reference>
          <reference field="1" count="1" selected="0">
            <x v="0"/>
          </reference>
        </references>
      </pivotArea>
    </chartFormat>
    <chartFormat chart="13" format="14" series="1">
      <pivotArea type="data" outline="0" fieldPosition="0">
        <references count="2">
          <reference field="4294967294" count="1" selected="0">
            <x v="0"/>
          </reference>
          <reference field="1" count="1" selected="0">
            <x v="1"/>
          </reference>
        </references>
      </pivotArea>
    </chartFormat>
    <chartFormat chart="13" format="15" series="1">
      <pivotArea type="data" outline="0" fieldPosition="0">
        <references count="2">
          <reference field="4294967294" count="1" selected="0">
            <x v="0"/>
          </reference>
          <reference field="1" count="1" selected="0">
            <x v="2"/>
          </reference>
        </references>
      </pivotArea>
    </chartFormat>
  </chart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Quantity Produc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production_dataset.csv!Manufacturing">
        <x15:activeTabTopLevelEntity name="[Manufactur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B0E3BE-9221-49A2-A0A1-1A210EE360AE}" name="PivotTable18" cacheId="11"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30">
  <location ref="A41:B53"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name="Quantity Produced" fld="0" baseField="0" baseItem="0" numFmtId="3"/>
  </dataFields>
  <formats count="8">
    <format dxfId="29">
      <pivotArea type="all" dataOnly="0" outline="0" fieldPosition="0"/>
    </format>
    <format dxfId="28">
      <pivotArea outline="0" collapsedLevelsAreSubtotals="1"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field="1" type="button" dataOnly="0" labelOnly="1" outline="0" axis="axisRow" fieldPosition="0"/>
    </format>
    <format dxfId="23">
      <pivotArea dataOnly="0" labelOnly="1" fieldPosition="0">
        <references count="1">
          <reference field="1" count="0"/>
        </references>
      </pivotArea>
    </format>
    <format dxfId="22">
      <pivotArea dataOnly="0" labelOnly="1" outline="0" axis="axisValues" fieldPosition="0"/>
    </format>
  </formats>
  <chartFormats count="10">
    <chartFormat chart="7" format="8" series="1">
      <pivotArea type="data" outline="0" fieldPosition="0">
        <references count="1">
          <reference field="4294967294" count="1" selected="0">
            <x v="0"/>
          </reference>
        </references>
      </pivotArea>
    </chartFormat>
    <chartFormat chart="9" format="16" series="1">
      <pivotArea type="data" outline="0" fieldPosition="0">
        <references count="1">
          <reference field="4294967294" count="1" selected="0">
            <x v="0"/>
          </reference>
        </references>
      </pivotArea>
    </chartFormat>
    <chartFormat chart="11" format="24" series="1">
      <pivotArea type="data" outline="0" fieldPosition="0">
        <references count="1">
          <reference field="4294967294" count="1" selected="0">
            <x v="0"/>
          </reference>
        </references>
      </pivotArea>
    </chartFormat>
    <chartFormat chart="13" format="32" series="1">
      <pivotArea type="data" outline="0" fieldPosition="0">
        <references count="1">
          <reference field="4294967294" count="1" selected="0">
            <x v="0"/>
          </reference>
        </references>
      </pivotArea>
    </chartFormat>
    <chartFormat chart="15" format="4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Quantity Produc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production_dataset.csv!Manufacturing">
        <x15:activeTabTopLevelEntity name="[Manufactur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C39266-FDD1-4770-82AA-B6CE3FE35376}" name="PivotTable6" cacheId="15"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36">
  <location ref="A59:B62"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x v="2"/>
    </i>
  </rowItems>
  <colItems count="1">
    <i/>
  </colItems>
  <dataFields count="1">
    <dataField name="Sum of Sales Revenue ($)" fld="1" baseField="0" baseItem="0" numFmtId="164"/>
  </dataFields>
  <formats count="12">
    <format dxfId="41">
      <pivotArea type="all" dataOnly="0" outline="0" fieldPosition="0"/>
    </format>
    <format dxfId="40">
      <pivotArea outline="0" collapsedLevelsAreSubtotals="1" fieldPosition="0"/>
    </format>
    <format dxfId="39">
      <pivotArea field="0" type="button" dataOnly="0" labelOnly="1" outline="0" axis="axisRow" fieldPosition="0"/>
    </format>
    <format dxfId="38">
      <pivotArea dataOnly="0" labelOnly="1" fieldPosition="0">
        <references count="1">
          <reference field="0" count="0"/>
        </references>
      </pivotArea>
    </format>
    <format dxfId="37">
      <pivotArea dataOnly="0" labelOnly="1" outline="0" axis="axisValues" fieldPosition="0"/>
    </format>
    <format dxfId="36">
      <pivotArea type="all" dataOnly="0" outline="0" fieldPosition="0"/>
    </format>
    <format dxfId="35">
      <pivotArea outline="0" fieldPosition="0">
        <references count="1">
          <reference field="4294967294" count="1">
            <x v="0"/>
          </reference>
        </references>
      </pivotArea>
    </format>
    <format dxfId="34">
      <pivotArea type="all" dataOnly="0" outline="0" fieldPosition="0"/>
    </format>
    <format dxfId="33">
      <pivotArea outline="0" collapsedLevelsAreSubtotals="1" fieldPosition="0"/>
    </format>
    <format dxfId="32">
      <pivotArea field="0" type="button" dataOnly="0" labelOnly="1" outline="0" axis="axisRow" fieldPosition="0"/>
    </format>
    <format dxfId="31">
      <pivotArea dataOnly="0" labelOnly="1" fieldPosition="0">
        <references count="1">
          <reference field="0" count="0"/>
        </references>
      </pivotArea>
    </format>
    <format dxfId="30">
      <pivotArea dataOnly="0" labelOnly="1" outline="0" axis="axisValues" fieldPosition="0"/>
    </format>
  </formats>
  <chartFormats count="4">
    <chartFormat chart="31" format="12" series="1">
      <pivotArea type="data" outline="0" fieldPosition="0">
        <references count="1">
          <reference field="4294967294" count="1" selected="0">
            <x v="0"/>
          </reference>
        </references>
      </pivotArea>
    </chartFormat>
    <chartFormat chart="31" format="13">
      <pivotArea type="data" outline="0" fieldPosition="0">
        <references count="2">
          <reference field="4294967294" count="1" selected="0">
            <x v="0"/>
          </reference>
          <reference field="0" count="1" selected="0">
            <x v="0"/>
          </reference>
        </references>
      </pivotArea>
    </chartFormat>
    <chartFormat chart="31" format="14">
      <pivotArea type="data" outline="0" fieldPosition="0">
        <references count="2">
          <reference field="4294967294" count="1" selected="0">
            <x v="0"/>
          </reference>
          <reference field="0" count="1" selected="0">
            <x v="1"/>
          </reference>
        </references>
      </pivotArea>
    </chartFormat>
    <chartFormat chart="31" format="15">
      <pivotArea type="data" outline="0" fieldPosition="0">
        <references count="2">
          <reference field="4294967294" count="1" selected="0">
            <x v="0"/>
          </reference>
          <reference field="0" count="1" selected="0">
            <x v="2"/>
          </reference>
        </references>
      </pivotArea>
    </chartFormat>
  </chart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Quantity Produc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production_dataset.csv!Manufacturing">
        <x15:activeTabTopLevelEntity name="[Manufactur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89A9D4-9481-4C7F-84D6-CFF595D94BCE}"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Quantity Produced" fld="0" baseField="0" baseItem="0" numFmtId="166"/>
  </dataFields>
  <formats count="3">
    <format dxfId="44">
      <pivotArea type="all" dataOnly="0" outline="0" fieldPosition="0"/>
    </format>
    <format dxfId="43">
      <pivotArea outline="0" collapsedLevelsAreSubtotals="1" fieldPosition="0"/>
    </format>
    <format dxfId="42">
      <pivotArea dataOnly="0" labelOnly="1" outline="0" axis="axisValues" fieldPosition="0"/>
    </format>
  </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Quantity Produc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production_dataset.csv!Manufacturing">
        <x15:activeTabTopLevelEntity name="[Manufactur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B1456D-542C-4B12-A239-FCF51A0B7A63}" name="PivotTable10"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4:E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Efficiency (%)" fld="0" subtotal="average" baseField="0" baseItem="0" numFmtId="2"/>
  </dataFields>
  <formats count="3">
    <format dxfId="47">
      <pivotArea type="all" dataOnly="0" outline="0" fieldPosition="0"/>
    </format>
    <format dxfId="46">
      <pivotArea outline="0" collapsedLevelsAreSubtotals="1" fieldPosition="0"/>
    </format>
    <format dxfId="45">
      <pivotArea dataOnly="0" labelOnly="1" outline="0" axis="axisValues" fieldPosition="0"/>
    </format>
  </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Quantity Produced"/>
    <pivotHierarchy dragToData="1"/>
    <pivotHierarchy dragToData="1"/>
    <pivotHierarchy dragToData="1"/>
    <pivotHierarchy dragToData="1"/>
    <pivotHierarchy dragToData="1" caption="Efficiency (%)"/>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production_dataset.csv!Manufacturing">
        <x15:activeTabTopLevelEntity name="[Manufactur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0FE340-67FF-417B-BB2E-1396E121B356}" name="PivotTable4" cacheId="1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6">
  <location ref="G43:J49" firstHeaderRow="1" firstDataRow="2" firstDataCol="1"/>
  <pivotFields count="3">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5">
        <item x="0"/>
        <item x="1"/>
        <item x="2"/>
        <item x="3"/>
        <item x="4"/>
      </items>
    </pivotField>
  </pivotFields>
  <rowFields count="1">
    <field x="2"/>
  </rowFields>
  <rowItems count="5">
    <i>
      <x/>
    </i>
    <i>
      <x v="1"/>
    </i>
    <i>
      <x v="2"/>
    </i>
    <i>
      <x v="3"/>
    </i>
    <i>
      <x v="4"/>
    </i>
  </rowItems>
  <colFields count="1">
    <field x="1"/>
  </colFields>
  <colItems count="3">
    <i>
      <x/>
    </i>
    <i>
      <x v="1"/>
    </i>
    <i>
      <x v="2"/>
    </i>
  </colItems>
  <dataFields count="1">
    <dataField name="Count of Defect Range" fld="0" subtotal="count" baseField="0" baseItem="0"/>
  </dataFields>
  <formats count="14">
    <format dxfId="61">
      <pivotArea type="all" dataOnly="0" outline="0" fieldPosition="0"/>
    </format>
    <format dxfId="60">
      <pivotArea outline="0" collapsedLevelsAreSubtotals="1"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type="origin" dataOnly="0" labelOnly="1" outline="0" fieldPosition="0"/>
    </format>
    <format dxfId="52">
      <pivotArea field="1" type="button" dataOnly="0" labelOnly="1" outline="0" axis="axisCol" fieldPosition="0"/>
    </format>
    <format dxfId="51">
      <pivotArea type="topRight" dataOnly="0" labelOnly="1" outline="0" fieldPosition="0"/>
    </format>
    <format dxfId="50">
      <pivotArea field="2" type="button" dataOnly="0" labelOnly="1" outline="0" axis="axisRow" fieldPosition="0"/>
    </format>
    <format dxfId="49">
      <pivotArea dataOnly="0" labelOnly="1" fieldPosition="0">
        <references count="1">
          <reference field="2" count="0"/>
        </references>
      </pivotArea>
    </format>
    <format dxfId="48">
      <pivotArea dataOnly="0" labelOnly="1" fieldPosition="0">
        <references count="1">
          <reference field="1" count="0"/>
        </references>
      </pivotArea>
    </format>
  </formats>
  <chartFormats count="5">
    <chartFormat chart="21" format="0" series="1">
      <pivotArea type="data" outline="0" fieldPosition="0">
        <references count="1">
          <reference field="4294967294" count="1" selected="0">
            <x v="0"/>
          </reference>
        </references>
      </pivotArea>
    </chartFormat>
    <chartFormat chart="35" format="6" series="1">
      <pivotArea type="data" outline="0" fieldPosition="0">
        <references count="2">
          <reference field="4294967294" count="1" selected="0">
            <x v="0"/>
          </reference>
          <reference field="1" count="1" selected="0">
            <x v="0"/>
          </reference>
        </references>
      </pivotArea>
    </chartFormat>
    <chartFormat chart="35" format="7" series="1">
      <pivotArea type="data" outline="0" fieldPosition="0">
        <references count="2">
          <reference field="4294967294" count="1" selected="0">
            <x v="0"/>
          </reference>
          <reference field="1" count="1" selected="0">
            <x v="1"/>
          </reference>
        </references>
      </pivotArea>
    </chartFormat>
    <chartFormat chart="35" format="8" series="1">
      <pivotArea type="data" outline="0" fieldPosition="0">
        <references count="2">
          <reference field="4294967294" count="1" selected="0">
            <x v="0"/>
          </reference>
          <reference field="1" count="1" selected="0">
            <x v="2"/>
          </reference>
        </references>
      </pivotArea>
    </chartFormat>
    <chartFormat chart="35" format="9"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Quantity Produc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production_dataset.csv!Manufacturing">
        <x15:activeTabTopLevelEntity name="[Manufactur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2ECD13-E789-44EA-9015-DE73CF086C60}" name="PivotTable3" cacheId="12"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30">
  <location ref="G33:H3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name="Count of Defect Range" fld="1" subtotal="count" baseField="0" baseItem="0"/>
  </dataFields>
  <formats count="11">
    <format dxfId="72">
      <pivotArea type="all" dataOnly="0" outline="0" fieldPosition="0"/>
    </format>
    <format dxfId="71">
      <pivotArea outline="0" collapsedLevelsAreSubtotals="1"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field="0" type="button" dataOnly="0" labelOnly="1" outline="0" axis="axisRow" fieldPosition="0"/>
    </format>
    <format dxfId="63">
      <pivotArea dataOnly="0" labelOnly="1" fieldPosition="0">
        <references count="1">
          <reference field="0" count="0"/>
        </references>
      </pivotArea>
    </format>
    <format dxfId="62">
      <pivotArea dataOnly="0" labelOnly="1" outline="0" axis="axisValues" fieldPosition="0"/>
    </format>
  </formats>
  <chartFormats count="1">
    <chartFormat chart="28" format="3"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Quantity Produc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production_dataset.csv!Manufacturing">
        <x15:activeTabTopLevelEntity name="[Manufactur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D4BD0C-0C1C-43AB-BEBC-EC9A251064A3}" name="PivotTable21" cacheId="19"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39">
  <location ref="E66:G69"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x v="2"/>
    </i>
  </rowItems>
  <colFields count="1">
    <field x="-2"/>
  </colFields>
  <colItems count="2">
    <i>
      <x/>
    </i>
    <i i="1">
      <x v="1"/>
    </i>
  </colItems>
  <dataFields count="2">
    <dataField name="Average of Efficiency (%)" fld="2" subtotal="average" baseField="0" baseItem="0" numFmtId="2"/>
    <dataField name="Downtime (Hours)" fld="1" baseField="0" baseItem="0"/>
  </dataFields>
  <formats count="10">
    <format dxfId="82">
      <pivotArea type="all" dataOnly="0" outline="0" fieldPosition="0"/>
    </format>
    <format dxfId="81">
      <pivotArea outline="0" collapsedLevelsAreSubtotals="1" fieldPosition="0"/>
    </format>
    <format dxfId="80">
      <pivotArea dataOnly="0" labelOnly="1" outline="0" axis="axisValues" fieldPosition="0"/>
    </format>
    <format dxfId="79">
      <pivotArea type="all" dataOnly="0" outline="0"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field="0" type="button" dataOnly="0" labelOnly="1" outline="0" axis="axisRow" fieldPosition="0"/>
    </format>
    <format dxfId="74">
      <pivotArea dataOnly="0" labelOnly="1" fieldPosition="0">
        <references count="1">
          <reference field="0" count="0"/>
        </references>
      </pivotArea>
    </format>
    <format dxfId="73">
      <pivotArea outline="0" fieldPosition="0">
        <references count="1">
          <reference field="4294967294" count="1">
            <x v="0"/>
          </reference>
        </references>
      </pivotArea>
    </format>
  </formats>
  <chartFormats count="12">
    <chartFormat chart="34"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1"/>
          </reference>
        </references>
      </pivotArea>
    </chartFormat>
    <chartFormat chart="36" format="2" series="1">
      <pivotArea type="data" outline="0" fieldPosition="0">
        <references count="1">
          <reference field="4294967294" count="1" selected="0">
            <x v="0"/>
          </reference>
        </references>
      </pivotArea>
    </chartFormat>
    <chartFormat chart="36" format="3" series="1">
      <pivotArea type="data" outline="0" fieldPosition="0">
        <references count="1">
          <reference field="4294967294" count="1" selected="0">
            <x v="1"/>
          </reference>
        </references>
      </pivotArea>
    </chartFormat>
    <chartFormat chart="37" format="4"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1"/>
          </reference>
        </references>
      </pivotArea>
    </chartFormat>
    <chartFormat chart="38" format="4"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1"/>
          </reference>
        </references>
      </pivotArea>
    </chartFormat>
    <chartFormat chart="38" format="6">
      <pivotArea type="data" outline="0" fieldPosition="0">
        <references count="2">
          <reference field="4294967294" count="1" selected="0">
            <x v="1"/>
          </reference>
          <reference field="0" count="1" selected="0">
            <x v="0"/>
          </reference>
        </references>
      </pivotArea>
    </chartFormat>
    <chartFormat chart="38" format="7">
      <pivotArea type="data" outline="0" fieldPosition="0">
        <references count="2">
          <reference field="4294967294" count="1" selected="0">
            <x v="1"/>
          </reference>
          <reference field="0" count="1" selected="0">
            <x v="1"/>
          </reference>
        </references>
      </pivotArea>
    </chartFormat>
    <chartFormat chart="38" format="8">
      <pivotArea type="data" outline="0" fieldPosition="0">
        <references count="2">
          <reference field="4294967294" count="1" selected="0">
            <x v="1"/>
          </reference>
          <reference field="0" count="1" selected="0">
            <x v="2"/>
          </reference>
        </references>
      </pivotArea>
    </chartFormat>
    <chartFormat chart="38" format="9">
      <pivotArea type="data" outline="0" fieldPosition="0">
        <references count="1">
          <reference field="4294967294" count="1" selected="0">
            <x v="1"/>
          </reference>
        </references>
      </pivotArea>
    </chartFormat>
  </chart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Quantity Produced"/>
    <pivotHierarchy dragToData="1"/>
    <pivotHierarchy dragToData="1" caption="Production Cost ($)"/>
    <pivotHierarchy dragToData="1" caption="Sales Revenue ($)"/>
    <pivotHierarchy dragToData="1" caption="Efficiency (%)"/>
    <pivotHierarchy dragToData="1" caption="Average of Efficiency (%)"/>
    <pivotHierarchy dragToData="1"/>
    <pivotHierarchy dragToData="1"/>
    <pivotHierarchy dragToData="1"/>
    <pivotHierarchy dragToData="1" caption="Downtime (Hours)"/>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production_dataset.csv!Manufacturing">
        <x15:activeTabTopLevelEntity name="[Manufactur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24D6692-012A-4EEE-860A-FF362B8E059D}" name="PivotTable22" cacheId="20"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39">
  <location ref="E72:G84"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name="Average of Efficiency (%)" fld="1" subtotal="average" baseField="0" baseItem="0" numFmtId="2"/>
    <dataField name="Downtime (Hours)" fld="0" baseField="0" baseItem="0"/>
  </dataFields>
  <formats count="8">
    <format dxfId="90">
      <pivotArea type="all" dataOnly="0" outline="0" fieldPosition="0"/>
    </format>
    <format dxfId="89">
      <pivotArea outline="0" collapsedLevelsAreSubtotals="1" fieldPosition="0"/>
    </format>
    <format dxfId="88">
      <pivotArea dataOnly="0" labelOnly="1" outline="0" axis="axisValues" fieldPosition="0"/>
    </format>
    <format dxfId="87">
      <pivotArea type="all" dataOnly="0" outline="0" fieldPosition="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outline="0" fieldPosition="0">
        <references count="1">
          <reference field="4294967294" count="1">
            <x v="0"/>
          </reference>
        </references>
      </pivotArea>
    </format>
  </formats>
  <chartFormats count="8">
    <chartFormat chart="34"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1"/>
          </reference>
        </references>
      </pivotArea>
    </chartFormat>
    <chartFormat chart="36" format="2" series="1">
      <pivotArea type="data" outline="0" fieldPosition="0">
        <references count="1">
          <reference field="4294967294" count="1" selected="0">
            <x v="0"/>
          </reference>
        </references>
      </pivotArea>
    </chartFormat>
    <chartFormat chart="36" format="3" series="1">
      <pivotArea type="data" outline="0" fieldPosition="0">
        <references count="1">
          <reference field="4294967294" count="1" selected="0">
            <x v="1"/>
          </reference>
        </references>
      </pivotArea>
    </chartFormat>
    <chartFormat chart="37" format="4"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1"/>
          </reference>
        </references>
      </pivotArea>
    </chartFormat>
    <chartFormat chart="38" format="4"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1"/>
          </reference>
        </references>
      </pivotArea>
    </chartFormat>
  </chart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Quantity Produced"/>
    <pivotHierarchy dragToData="1"/>
    <pivotHierarchy dragToData="1" caption="Production Cost ($)"/>
    <pivotHierarchy dragToData="1" caption="Sales Revenue ($)"/>
    <pivotHierarchy dragToData="1" caption="Efficiency (%)"/>
    <pivotHierarchy dragToData="1" caption="Average of Efficiency (%)"/>
    <pivotHierarchy dragToData="1"/>
    <pivotHierarchy dragToData="1"/>
    <pivotHierarchy dragToData="1"/>
    <pivotHierarchy dragToData="1" caption="Downtime (Hours)"/>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production_dataset.csv!Manufacturing">
        <x15:activeTabTopLevelEntity name="[Manufactur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625408-8CC3-4D20-B8DC-04B94BEED38B}" name="PivotTable7"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Defects" fld="0" baseField="0" baseItem="0" numFmtId="3"/>
  </dataFields>
  <formats count="3">
    <format dxfId="93">
      <pivotArea type="all" dataOnly="0" outline="0" fieldPosition="0"/>
    </format>
    <format dxfId="92">
      <pivotArea outline="0" collapsedLevelsAreSubtotals="1" fieldPosition="0"/>
    </format>
    <format dxfId="91">
      <pivotArea dataOnly="0" labelOnly="1" outline="0" axis="axisValues" fieldPosition="0"/>
    </format>
  </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Quantity Produced"/>
    <pivotHierarchy dragToData="1" caption="Total Defect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production_dataset.csv!Manufacturing">
        <x15:activeTabTopLevelEntity name="[Manufactur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C3522D1-FCBA-4248-9729-5B359EBCC6F0}" name="PivotTable8"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4:C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Production Cost ($)" fld="0" baseField="0" baseItem="0" numFmtId="164"/>
  </dataFields>
  <formats count="3">
    <format dxfId="96">
      <pivotArea type="all" dataOnly="0" outline="0" fieldPosition="0"/>
    </format>
    <format dxfId="95">
      <pivotArea outline="0" collapsedLevelsAreSubtotals="1" fieldPosition="0"/>
    </format>
    <format dxfId="94">
      <pivotArea dataOnly="0" labelOnly="1" outline="0" axis="axisValues" fieldPosition="0"/>
    </format>
  </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Quantity Produced"/>
    <pivotHierarchy dragToData="1"/>
    <pivotHierarchy dragToData="1" caption="Production Cost ($)"/>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production_dataset.csv!Manufacturing">
        <x15:activeTabTopLevelEntity name="[Manufactur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02061AD-D8D8-4BAB-A63D-3CD9884C93F6}" name="PivotTable1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4:D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ales Revenue ($)" fld="0" baseField="0" baseItem="0" numFmtId="164"/>
  </dataFields>
  <formats count="3">
    <format dxfId="99">
      <pivotArea type="all" dataOnly="0" outline="0" fieldPosition="0"/>
    </format>
    <format dxfId="98">
      <pivotArea outline="0" collapsedLevelsAreSubtotals="1" fieldPosition="0"/>
    </format>
    <format dxfId="97">
      <pivotArea dataOnly="0" labelOnly="1" outline="0" axis="axisValues" fieldPosition="0"/>
    </format>
  </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Quantity Produced"/>
    <pivotHierarchy dragToData="1"/>
    <pivotHierarchy dragToData="1" caption="Production Cost ($)"/>
    <pivotHierarchy dragToData="1" caption="Sales Revenue ($)"/>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production_dataset.csv!Manufacturing">
        <x15:activeTabTopLevelEntity name="[Manufactur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044CA23-DBFC-4F2B-8B80-49F8E0D60160}" name="PivotTable16" cacheId="9"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2">
  <location ref="A33:B36"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3">
    <i>
      <x/>
    </i>
    <i>
      <x v="1"/>
    </i>
    <i>
      <x v="2"/>
    </i>
  </rowItems>
  <colItems count="1">
    <i/>
  </colItems>
  <dataFields count="1">
    <dataField name="Quantity Produced" fld="0" baseField="1" baseItem="1048828" numFmtId="3"/>
  </dataFields>
  <formats count="10">
    <format dxfId="109">
      <pivotArea type="all" dataOnly="0" outline="0" fieldPosition="0"/>
    </format>
    <format dxfId="108">
      <pivotArea outline="0" collapsedLevelsAreSubtotals="1" fieldPosition="0"/>
    </format>
    <format dxfId="107">
      <pivotArea field="1" type="button" dataOnly="0" labelOnly="1" outline="0" axis="axisRow" fieldPosition="0"/>
    </format>
    <format dxfId="106">
      <pivotArea dataOnly="0" labelOnly="1" fieldPosition="0">
        <references count="1">
          <reference field="1" count="0"/>
        </references>
      </pivotArea>
    </format>
    <format dxfId="105">
      <pivotArea dataOnly="0" labelOnly="1" outline="0" axis="axisValues" fieldPosition="0"/>
    </format>
    <format dxfId="104">
      <pivotArea type="all" dataOnly="0" outline="0" fieldPosition="0"/>
    </format>
    <format dxfId="103">
      <pivotArea outline="0" collapsedLevelsAreSubtotals="1" fieldPosition="0"/>
    </format>
    <format dxfId="102">
      <pivotArea field="1" type="button" dataOnly="0" labelOnly="1" outline="0" axis="axisRow" fieldPosition="0"/>
    </format>
    <format dxfId="101">
      <pivotArea dataOnly="0" labelOnly="1" fieldPosition="0">
        <references count="1">
          <reference field="1" count="0"/>
        </references>
      </pivotArea>
    </format>
    <format dxfId="100">
      <pivotArea dataOnly="0" labelOnly="1" outline="0" axis="axisValues" fieldPosition="0"/>
    </format>
  </formats>
  <chartFormats count="33">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 count="1" selected="0">
            <x v="0"/>
          </reference>
        </references>
      </pivotArea>
    </chartFormat>
    <chartFormat chart="7" format="10">
      <pivotArea type="data" outline="0" fieldPosition="0">
        <references count="2">
          <reference field="4294967294" count="1" selected="0">
            <x v="0"/>
          </reference>
          <reference field="1" count="1" selected="0">
            <x v="1"/>
          </reference>
        </references>
      </pivotArea>
    </chartFormat>
    <chartFormat chart="7" format="11">
      <pivotArea type="data" outline="0" fieldPosition="0">
        <references count="2">
          <reference field="4294967294" count="1" selected="0">
            <x v="0"/>
          </reference>
          <reference field="1" count="1" selected="0">
            <x v="2"/>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1" count="1" selected="0">
            <x v="0"/>
          </reference>
        </references>
      </pivotArea>
    </chartFormat>
    <chartFormat chart="9" format="18">
      <pivotArea type="data" outline="0" fieldPosition="0">
        <references count="2">
          <reference field="4294967294" count="1" selected="0">
            <x v="0"/>
          </reference>
          <reference field="1" count="1" selected="0">
            <x v="1"/>
          </reference>
        </references>
      </pivotArea>
    </chartFormat>
    <chartFormat chart="9" format="19">
      <pivotArea type="data" outline="0" fieldPosition="0">
        <references count="2">
          <reference field="4294967294" count="1" selected="0">
            <x v="0"/>
          </reference>
          <reference field="1" count="1" selected="0">
            <x v="2"/>
          </reference>
        </references>
      </pivotArea>
    </chartFormat>
    <chartFormat chart="11" format="24" series="1">
      <pivotArea type="data" outline="0" fieldPosition="0">
        <references count="1">
          <reference field="4294967294" count="1" selected="0">
            <x v="0"/>
          </reference>
        </references>
      </pivotArea>
    </chartFormat>
    <chartFormat chart="11" format="25">
      <pivotArea type="data" outline="0" fieldPosition="0">
        <references count="2">
          <reference field="4294967294" count="1" selected="0">
            <x v="0"/>
          </reference>
          <reference field="1" count="1" selected="0">
            <x v="0"/>
          </reference>
        </references>
      </pivotArea>
    </chartFormat>
    <chartFormat chart="11" format="26">
      <pivotArea type="data" outline="0" fieldPosition="0">
        <references count="2">
          <reference field="4294967294" count="1" selected="0">
            <x v="0"/>
          </reference>
          <reference field="1" count="1" selected="0">
            <x v="1"/>
          </reference>
        </references>
      </pivotArea>
    </chartFormat>
    <chartFormat chart="11" format="27">
      <pivotArea type="data" outline="0" fieldPosition="0">
        <references count="2">
          <reference field="4294967294" count="1" selected="0">
            <x v="0"/>
          </reference>
          <reference field="1" count="1" selected="0">
            <x v="2"/>
          </reference>
        </references>
      </pivotArea>
    </chartFormat>
    <chartFormat chart="13" format="32" series="1">
      <pivotArea type="data" outline="0" fieldPosition="0">
        <references count="1">
          <reference field="4294967294" count="1" selected="0">
            <x v="0"/>
          </reference>
        </references>
      </pivotArea>
    </chartFormat>
    <chartFormat chart="13" format="33">
      <pivotArea type="data" outline="0" fieldPosition="0">
        <references count="2">
          <reference field="4294967294" count="1" selected="0">
            <x v="0"/>
          </reference>
          <reference field="1" count="1" selected="0">
            <x v="0"/>
          </reference>
        </references>
      </pivotArea>
    </chartFormat>
    <chartFormat chart="13" format="34">
      <pivotArea type="data" outline="0" fieldPosition="0">
        <references count="2">
          <reference field="4294967294" count="1" selected="0">
            <x v="0"/>
          </reference>
          <reference field="1" count="1" selected="0">
            <x v="1"/>
          </reference>
        </references>
      </pivotArea>
    </chartFormat>
    <chartFormat chart="13" format="35">
      <pivotArea type="data" outline="0" fieldPosition="0">
        <references count="2">
          <reference field="4294967294" count="1" selected="0">
            <x v="0"/>
          </reference>
          <reference field="1" count="1" selected="0">
            <x v="2"/>
          </reference>
        </references>
      </pivotArea>
    </chartFormat>
    <chartFormat chart="15" format="40" series="1">
      <pivotArea type="data" outline="0" fieldPosition="0">
        <references count="1">
          <reference field="4294967294" count="1" selected="0">
            <x v="0"/>
          </reference>
        </references>
      </pivotArea>
    </chartFormat>
    <chartFormat chart="15" format="41">
      <pivotArea type="data" outline="0" fieldPosition="0">
        <references count="2">
          <reference field="4294967294" count="1" selected="0">
            <x v="0"/>
          </reference>
          <reference field="1" count="1" selected="0">
            <x v="0"/>
          </reference>
        </references>
      </pivotArea>
    </chartFormat>
    <chartFormat chart="15" format="42">
      <pivotArea type="data" outline="0" fieldPosition="0">
        <references count="2">
          <reference field="4294967294" count="1" selected="0">
            <x v="0"/>
          </reference>
          <reference field="1" count="1" selected="0">
            <x v="1"/>
          </reference>
        </references>
      </pivotArea>
    </chartFormat>
    <chartFormat chart="15" format="43">
      <pivotArea type="data" outline="0" fieldPosition="0">
        <references count="2">
          <reference field="4294967294" count="1" selected="0">
            <x v="0"/>
          </reference>
          <reference field="1" count="1" selected="0">
            <x v="2"/>
          </reference>
        </references>
      </pivotArea>
    </chartFormat>
    <chartFormat chart="16"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1" count="1" selected="0">
            <x v="0"/>
          </reference>
        </references>
      </pivotArea>
    </chartFormat>
    <chartFormat chart="18" format="3">
      <pivotArea type="data" outline="0" fieldPosition="0">
        <references count="2">
          <reference field="4294967294" count="1" selected="0">
            <x v="0"/>
          </reference>
          <reference field="1" count="1" selected="0">
            <x v="1"/>
          </reference>
        </references>
      </pivotArea>
    </chartFormat>
    <chartFormat chart="18" format="4">
      <pivotArea type="data" outline="0" fieldPosition="0">
        <references count="2">
          <reference field="4294967294" count="1" selected="0">
            <x v="0"/>
          </reference>
          <reference field="1" count="1" selected="0">
            <x v="2"/>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1" count="1" selected="0">
            <x v="0"/>
          </reference>
        </references>
      </pivotArea>
    </chartFormat>
    <chartFormat chart="19" format="7">
      <pivotArea type="data" outline="0" fieldPosition="0">
        <references count="2">
          <reference field="4294967294" count="1" selected="0">
            <x v="0"/>
          </reference>
          <reference field="1" count="1" selected="0">
            <x v="1"/>
          </reference>
        </references>
      </pivotArea>
    </chartFormat>
    <chartFormat chart="19" format="8">
      <pivotArea type="data" outline="0" fieldPosition="0">
        <references count="2">
          <reference field="4294967294" count="1" selected="0">
            <x v="0"/>
          </reference>
          <reference field="1" count="1" selected="0">
            <x v="2"/>
          </reference>
        </references>
      </pivotArea>
    </chartFormat>
    <chartFormat chart="20" format="9" series="1">
      <pivotArea type="data" outline="0" fieldPosition="0">
        <references count="1">
          <reference field="4294967294" count="1" selected="0">
            <x v="0"/>
          </reference>
        </references>
      </pivotArea>
    </chartFormat>
    <chartFormat chart="20" format="10">
      <pivotArea type="data" outline="0" fieldPosition="0">
        <references count="2">
          <reference field="4294967294" count="1" selected="0">
            <x v="0"/>
          </reference>
          <reference field="1" count="1" selected="0">
            <x v="0"/>
          </reference>
        </references>
      </pivotArea>
    </chartFormat>
    <chartFormat chart="20" format="11">
      <pivotArea type="data" outline="0" fieldPosition="0">
        <references count="2">
          <reference field="4294967294" count="1" selected="0">
            <x v="0"/>
          </reference>
          <reference field="1" count="1" selected="0">
            <x v="1"/>
          </reference>
        </references>
      </pivotArea>
    </chartFormat>
    <chartFormat chart="20" format="12">
      <pivotArea type="data" outline="0" fieldPosition="0">
        <references count="2">
          <reference field="4294967294" count="1" selected="0">
            <x v="0"/>
          </reference>
          <reference field="1" count="1" selected="0">
            <x v="2"/>
          </reference>
        </references>
      </pivotArea>
    </chartFormat>
  </chart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Quantity Produc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production_dataset.csv!Manufacturing">
        <x15:activeTabTopLevelEntity name="[Manufactur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A1D0B2E-608E-40AC-BE6E-B151872B3176}" name="PivotTable13" cacheId="4"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4">
  <location ref="D8:E1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Sum of Defects" fld="1" baseField="0" baseItem="0"/>
  </dataFields>
  <formats count="5">
    <format dxfId="114">
      <pivotArea type="all" dataOnly="0" outline="0" fieldPosition="0"/>
    </format>
    <format dxfId="113">
      <pivotArea outline="0" collapsedLevelsAreSubtotals="1" fieldPosition="0"/>
    </format>
    <format dxfId="112">
      <pivotArea field="0" type="button" dataOnly="0" labelOnly="1" outline="0" axis="axisRow" fieldPosition="0"/>
    </format>
    <format dxfId="111">
      <pivotArea dataOnly="0" labelOnly="1" fieldPosition="0">
        <references count="1">
          <reference field="0" count="0"/>
        </references>
      </pivotArea>
    </format>
    <format dxfId="110">
      <pivotArea dataOnly="0" labelOnly="1" outline="0" axis="axisValues" fieldPosition="0"/>
    </format>
  </formats>
  <chartFormats count="8">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0" count="1" selected="0">
            <x v="0"/>
          </reference>
        </references>
      </pivotArea>
    </chartFormat>
    <chartFormat chart="9" format="7">
      <pivotArea type="data" outline="0" fieldPosition="0">
        <references count="2">
          <reference field="4294967294" count="1" selected="0">
            <x v="0"/>
          </reference>
          <reference field="0" count="1" selected="0">
            <x v="1"/>
          </reference>
        </references>
      </pivotArea>
    </chartFormat>
    <chartFormat chart="9" format="8">
      <pivotArea type="data" outline="0" fieldPosition="0">
        <references count="2">
          <reference field="4294967294" count="1" selected="0">
            <x v="0"/>
          </reference>
          <reference field="0" count="1" selected="0">
            <x v="2"/>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0" count="1" selected="0">
            <x v="0"/>
          </reference>
        </references>
      </pivotArea>
    </chartFormat>
    <chartFormat chart="11" format="15">
      <pivotArea type="data" outline="0" fieldPosition="0">
        <references count="2">
          <reference field="4294967294" count="1" selected="0">
            <x v="0"/>
          </reference>
          <reference field="0" count="1" selected="0">
            <x v="1"/>
          </reference>
        </references>
      </pivotArea>
    </chartFormat>
    <chartFormat chart="11" format="16">
      <pivotArea type="data" outline="0" fieldPosition="0">
        <references count="2">
          <reference field="4294967294" count="1" selected="0">
            <x v="0"/>
          </reference>
          <reference field="0" count="1" selected="0">
            <x v="2"/>
          </reference>
        </references>
      </pivotArea>
    </chartFormat>
  </chart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Quantity Produc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production_dataset.csv!Manufacturing">
        <x15:activeTabTopLevelEntity name="[Manufactur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E8A256F-BAD3-4EA7-BEA8-B191284305D6}" name="PivotTable9" cacheId="16"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34">
  <location ref="A66:C69" firstHeaderRow="0"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3">
    <i>
      <x/>
    </i>
    <i>
      <x v="1"/>
    </i>
    <i>
      <x v="2"/>
    </i>
  </rowItems>
  <colFields count="1">
    <field x="-2"/>
  </colFields>
  <colItems count="2">
    <i>
      <x/>
    </i>
    <i i="1">
      <x v="1"/>
    </i>
  </colItems>
  <dataFields count="2">
    <dataField name="Sales Revenue ($)" fld="0" baseField="0" baseItem="0" numFmtId="164"/>
    <dataField name="Production Cost ($)" fld="2" baseField="1" baseItem="0" numFmtId="164"/>
  </dataFields>
  <formats count="12">
    <format dxfId="126">
      <pivotArea type="all" dataOnly="0" outline="0" fieldPosition="0"/>
    </format>
    <format dxfId="125">
      <pivotArea outline="0" collapsedLevelsAreSubtotals="1" fieldPosition="0"/>
    </format>
    <format dxfId="124">
      <pivotArea dataOnly="0" labelOnly="1" outline="0" axis="axisValues" fieldPosition="0"/>
    </format>
    <format dxfId="123">
      <pivotArea type="all" dataOnly="0" outline="0" fieldPosition="0"/>
    </format>
    <format dxfId="122">
      <pivotArea dataOnly="0" labelOnly="1" outline="0" axis="axisValues" fieldPosition="0"/>
    </format>
    <format dxfId="121">
      <pivotArea outline="0" fieldPosition="0">
        <references count="1">
          <reference field="4294967294" count="1">
            <x v="0"/>
          </reference>
        </references>
      </pivotArea>
    </format>
    <format dxfId="120">
      <pivotArea outline="0" fieldPosition="0">
        <references count="1">
          <reference field="4294967294" count="1">
            <x v="1"/>
          </reference>
        </references>
      </pivotArea>
    </format>
    <format dxfId="119">
      <pivotArea type="all" dataOnly="0" outline="0" fieldPosition="0"/>
    </format>
    <format dxfId="118">
      <pivotArea outline="0" collapsedLevelsAreSubtotals="1" fieldPosition="0"/>
    </format>
    <format dxfId="117">
      <pivotArea field="1" type="button" dataOnly="0" labelOnly="1" outline="0" axis="axisRow" fieldPosition="0"/>
    </format>
    <format dxfId="116">
      <pivotArea dataOnly="0" labelOnly="1" fieldPosition="0">
        <references count="1">
          <reference field="1" count="0"/>
        </references>
      </pivotArea>
    </format>
    <format dxfId="115">
      <pivotArea dataOnly="0" labelOnly="1" outline="0" fieldPosition="0">
        <references count="1">
          <reference field="4294967294" count="2">
            <x v="0"/>
            <x v="1"/>
          </reference>
        </references>
      </pivotArea>
    </format>
  </formats>
  <chartFormats count="3">
    <chartFormat chart="22" format="0" series="1">
      <pivotArea type="data" outline="0" fieldPosition="0">
        <references count="1">
          <reference field="4294967294" count="1" selected="0">
            <x v="0"/>
          </reference>
        </references>
      </pivotArea>
    </chartFormat>
    <chartFormat chart="33" format="7" series="1">
      <pivotArea type="data" outline="0" fieldPosition="0">
        <references count="1">
          <reference field="4294967294" count="1" selected="0">
            <x v="0"/>
          </reference>
        </references>
      </pivotArea>
    </chartFormat>
    <chartFormat chart="33" format="8" series="1">
      <pivotArea type="data" outline="0" fieldPosition="0">
        <references count="1">
          <reference field="4294967294" count="1" selected="0">
            <x v="1"/>
          </reference>
        </references>
      </pivotArea>
    </chartFormat>
  </chart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Quantity Produced"/>
    <pivotHierarchy dragToData="1"/>
    <pivotHierarchy dragToData="1" caption="Production Cost ($)"/>
    <pivotHierarchy dragToData="1" caption="Sales Revenue ($)"/>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production_dataset.csv!Manufacturing">
        <x15:activeTabTopLevelEntity name="[Manufactur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C85A417-7561-4869-B89F-062F37032709}" name="PivotTable19" cacheId="17"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40">
  <location ref="A72:C84"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name="Sales Revenue ($)" fld="0" baseField="0" baseItem="0" numFmtId="164"/>
    <dataField name="Production Cost ($)" fld="1" baseField="0" baseItem="0" numFmtId="164"/>
  </dataFields>
  <formats count="12">
    <format dxfId="138">
      <pivotArea type="all" dataOnly="0" outline="0" fieldPosition="0"/>
    </format>
    <format dxfId="137">
      <pivotArea outline="0" collapsedLevelsAreSubtotals="1" fieldPosition="0"/>
    </format>
    <format dxfId="136">
      <pivotArea dataOnly="0" labelOnly="1" outline="0" axis="axisValues" fieldPosition="0"/>
    </format>
    <format dxfId="135">
      <pivotArea type="all" dataOnly="0" outline="0" fieldPosition="0"/>
    </format>
    <format dxfId="134">
      <pivotArea dataOnly="0" labelOnly="1" outline="0" axis="axisValues" fieldPosition="0"/>
    </format>
    <format dxfId="133">
      <pivotArea outline="0" fieldPosition="0">
        <references count="1">
          <reference field="4294967294" count="1">
            <x v="0"/>
          </reference>
        </references>
      </pivotArea>
    </format>
    <format dxfId="132">
      <pivotArea outline="0" fieldPosition="0">
        <references count="1">
          <reference field="4294967294" count="1">
            <x v="1"/>
          </reference>
        </references>
      </pivotArea>
    </format>
    <format dxfId="131">
      <pivotArea type="all" dataOnly="0" outline="0" fieldPosition="0"/>
    </format>
    <format dxfId="130">
      <pivotArea outline="0" collapsedLevelsAreSubtotals="1" fieldPosition="0"/>
    </format>
    <format dxfId="129">
      <pivotArea field="2" type="button" dataOnly="0" labelOnly="1" outline="0" axis="axisRow" fieldPosition="0"/>
    </format>
    <format dxfId="128">
      <pivotArea dataOnly="0" labelOnly="1" fieldPosition="0">
        <references count="1">
          <reference field="2" count="0"/>
        </references>
      </pivotArea>
    </format>
    <format dxfId="127">
      <pivotArea dataOnly="0" labelOnly="1" outline="0" fieldPosition="0">
        <references count="1">
          <reference field="4294967294" count="2">
            <x v="0"/>
            <x v="1"/>
          </reference>
        </references>
      </pivotArea>
    </format>
  </formats>
  <chartFormats count="5">
    <chartFormat chart="22"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39" format="8" series="1">
      <pivotArea type="data" outline="0" fieldPosition="0">
        <references count="1">
          <reference field="4294967294" count="1" selected="0">
            <x v="0"/>
          </reference>
        </references>
      </pivotArea>
    </chartFormat>
    <chartFormat chart="39" format="9" series="1">
      <pivotArea type="data" outline="0" fieldPosition="0">
        <references count="1">
          <reference field="4294967294" count="1" selected="0">
            <x v="1"/>
          </reference>
        </references>
      </pivotArea>
    </chartFormat>
  </chart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Quantity Produced"/>
    <pivotHierarchy dragToData="1"/>
    <pivotHierarchy dragToData="1" caption="Production Cost ($)"/>
    <pivotHierarchy dragToData="1" caption="Sales Revenue ($)"/>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production_dataset.csv!Manufacturing">
        <x15:activeTabTopLevelEntity name="[Manufactur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F5CB747-96D2-4747-82D3-70ED16196921}" name="PivotTable20" cacheId="18"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44">
  <location ref="E59:F62"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x v="2"/>
    </i>
  </rowItems>
  <colItems count="1">
    <i/>
  </colItems>
  <dataFields count="1">
    <dataField name="Sum of Downtime (Hours)" fld="1" baseField="0" baseItem="0"/>
  </dataFields>
  <formats count="11">
    <format dxfId="149">
      <pivotArea type="all" dataOnly="0" outline="0" fieldPosition="0"/>
    </format>
    <format dxfId="148">
      <pivotArea outline="0" collapsedLevelsAreSubtotals="1" fieldPosition="0"/>
    </format>
    <format dxfId="147">
      <pivotArea field="0" type="button" dataOnly="0" labelOnly="1" outline="0" axis="axisRow" fieldPosition="0"/>
    </format>
    <format dxfId="146">
      <pivotArea dataOnly="0" labelOnly="1" fieldPosition="0">
        <references count="1">
          <reference field="0" count="0"/>
        </references>
      </pivotArea>
    </format>
    <format dxfId="145">
      <pivotArea dataOnly="0" labelOnly="1" outline="0" axis="axisValues" fieldPosition="0"/>
    </format>
    <format dxfId="144">
      <pivotArea type="all" dataOnly="0" outline="0" fieldPosition="0"/>
    </format>
    <format dxfId="143">
      <pivotArea type="all" dataOnly="0" outline="0" fieldPosition="0"/>
    </format>
    <format dxfId="142">
      <pivotArea outline="0" collapsedLevelsAreSubtotals="1" fieldPosition="0"/>
    </format>
    <format dxfId="141">
      <pivotArea field="0" type="button" dataOnly="0" labelOnly="1" outline="0" axis="axisRow" fieldPosition="0"/>
    </format>
    <format dxfId="140">
      <pivotArea dataOnly="0" labelOnly="1" fieldPosition="0">
        <references count="1">
          <reference field="0" count="0"/>
        </references>
      </pivotArea>
    </format>
    <format dxfId="139">
      <pivotArea dataOnly="0" labelOnly="1" outline="0" axis="axisValues" fieldPosition="0"/>
    </format>
  </formats>
  <chartFormats count="16">
    <chartFormat chart="32" format="0" series="1">
      <pivotArea type="data" outline="0" fieldPosition="0">
        <references count="1">
          <reference field="4294967294" count="1" selected="0">
            <x v="0"/>
          </reference>
        </references>
      </pivotArea>
    </chartFormat>
    <chartFormat chart="32" format="1">
      <pivotArea type="data" outline="0" fieldPosition="0">
        <references count="2">
          <reference field="4294967294" count="1" selected="0">
            <x v="0"/>
          </reference>
          <reference field="0" count="1" selected="0">
            <x v="0"/>
          </reference>
        </references>
      </pivotArea>
    </chartFormat>
    <chartFormat chart="32" format="2">
      <pivotArea type="data" outline="0" fieldPosition="0">
        <references count="2">
          <reference field="4294967294" count="1" selected="0">
            <x v="0"/>
          </reference>
          <reference field="0" count="1" selected="0">
            <x v="2"/>
          </reference>
        </references>
      </pivotArea>
    </chartFormat>
    <chartFormat chart="32" format="3">
      <pivotArea type="data" outline="0" fieldPosition="0">
        <references count="2">
          <reference field="4294967294" count="1" selected="0">
            <x v="0"/>
          </reference>
          <reference field="0" count="1" selected="0">
            <x v="1"/>
          </reference>
        </references>
      </pivotArea>
    </chartFormat>
    <chartFormat chart="41" format="4" series="1">
      <pivotArea type="data" outline="0" fieldPosition="0">
        <references count="1">
          <reference field="4294967294" count="1" selected="0">
            <x v="0"/>
          </reference>
        </references>
      </pivotArea>
    </chartFormat>
    <chartFormat chart="41" format="5">
      <pivotArea type="data" outline="0" fieldPosition="0">
        <references count="2">
          <reference field="4294967294" count="1" selected="0">
            <x v="0"/>
          </reference>
          <reference field="0" count="1" selected="0">
            <x v="0"/>
          </reference>
        </references>
      </pivotArea>
    </chartFormat>
    <chartFormat chart="41" format="6">
      <pivotArea type="data" outline="0" fieldPosition="0">
        <references count="2">
          <reference field="4294967294" count="1" selected="0">
            <x v="0"/>
          </reference>
          <reference field="0" count="1" selected="0">
            <x v="1"/>
          </reference>
        </references>
      </pivotArea>
    </chartFormat>
    <chartFormat chart="41" format="7">
      <pivotArea type="data" outline="0" fieldPosition="0">
        <references count="2">
          <reference field="4294967294" count="1" selected="0">
            <x v="0"/>
          </reference>
          <reference field="0" count="1" selected="0">
            <x v="2"/>
          </reference>
        </references>
      </pivotArea>
    </chartFormat>
    <chartFormat chart="42" format="8" series="1">
      <pivotArea type="data" outline="0" fieldPosition="0">
        <references count="1">
          <reference field="4294967294" count="1" selected="0">
            <x v="0"/>
          </reference>
        </references>
      </pivotArea>
    </chartFormat>
    <chartFormat chart="42" format="9">
      <pivotArea type="data" outline="0" fieldPosition="0">
        <references count="2">
          <reference field="4294967294" count="1" selected="0">
            <x v="0"/>
          </reference>
          <reference field="0" count="1" selected="0">
            <x v="0"/>
          </reference>
        </references>
      </pivotArea>
    </chartFormat>
    <chartFormat chart="42" format="10">
      <pivotArea type="data" outline="0" fieldPosition="0">
        <references count="2">
          <reference field="4294967294" count="1" selected="0">
            <x v="0"/>
          </reference>
          <reference field="0" count="1" selected="0">
            <x v="1"/>
          </reference>
        </references>
      </pivotArea>
    </chartFormat>
    <chartFormat chart="42" format="11">
      <pivotArea type="data" outline="0" fieldPosition="0">
        <references count="2">
          <reference field="4294967294" count="1" selected="0">
            <x v="0"/>
          </reference>
          <reference field="0" count="1" selected="0">
            <x v="2"/>
          </reference>
        </references>
      </pivotArea>
    </chartFormat>
    <chartFormat chart="43" format="8" series="1">
      <pivotArea type="data" outline="0" fieldPosition="0">
        <references count="1">
          <reference field="4294967294" count="1" selected="0">
            <x v="0"/>
          </reference>
        </references>
      </pivotArea>
    </chartFormat>
    <chartFormat chart="43" format="9">
      <pivotArea type="data" outline="0" fieldPosition="0">
        <references count="2">
          <reference field="4294967294" count="1" selected="0">
            <x v="0"/>
          </reference>
          <reference field="0" count="1" selected="0">
            <x v="0"/>
          </reference>
        </references>
      </pivotArea>
    </chartFormat>
    <chartFormat chart="43" format="10">
      <pivotArea type="data" outline="0" fieldPosition="0">
        <references count="2">
          <reference field="4294967294" count="1" selected="0">
            <x v="0"/>
          </reference>
          <reference field="0" count="1" selected="0">
            <x v="1"/>
          </reference>
        </references>
      </pivotArea>
    </chartFormat>
    <chartFormat chart="43" format="11">
      <pivotArea type="data" outline="0" fieldPosition="0">
        <references count="2">
          <reference field="4294967294" count="1" selected="0">
            <x v="0"/>
          </reference>
          <reference field="0" count="1" selected="0">
            <x v="2"/>
          </reference>
        </references>
      </pivotArea>
    </chartFormat>
  </chart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Quantity Produc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production_dataset.csv!Manufacturing">
        <x15:activeTabTopLevelEntity name="[Manufactur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FAE234B-0758-4537-9AF6-19089DDFEF59}" name="PivotTable5" cacheId="14"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35">
  <location ref="L33:M45"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Sum of Defects" fld="1" baseField="0" baseItem="0"/>
  </dataFields>
  <formats count="11">
    <format dxfId="160">
      <pivotArea type="all" dataOnly="0" outline="0" fieldPosition="0"/>
    </format>
    <format dxfId="159">
      <pivotArea outline="0" collapsedLevelsAreSubtotals="1" fieldPosition="0"/>
    </format>
    <format dxfId="158">
      <pivotArea dataOnly="0" labelOnly="1" outline="0" axis="axisValues" fieldPosition="0"/>
    </format>
    <format dxfId="157">
      <pivotArea type="all" dataOnly="0" outline="0" fieldPosition="0"/>
    </format>
    <format dxfId="156">
      <pivotArea outline="0" collapsedLevelsAreSubtotals="1" fieldPosition="0"/>
    </format>
    <format dxfId="155">
      <pivotArea dataOnly="0" labelOnly="1" outline="0" axis="axisValues" fieldPosition="0"/>
    </format>
    <format dxfId="154">
      <pivotArea type="all" dataOnly="0" outline="0" fieldPosition="0"/>
    </format>
    <format dxfId="153">
      <pivotArea outline="0" collapsedLevelsAreSubtotals="1" fieldPosition="0"/>
    </format>
    <format dxfId="152">
      <pivotArea field="0" type="button" dataOnly="0" labelOnly="1" outline="0" axis="axisRow" fieldPosition="0"/>
    </format>
    <format dxfId="151">
      <pivotArea dataOnly="0" labelOnly="1" fieldPosition="0">
        <references count="1">
          <reference field="0" count="0"/>
        </references>
      </pivotArea>
    </format>
    <format dxfId="150">
      <pivotArea dataOnly="0" labelOnly="1" outline="0" axis="axisValues" fieldPosition="0"/>
    </format>
  </formats>
  <chartFormats count="1">
    <chartFormat chart="33"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Quantity Produc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production_dataset.csv!Manufacturing">
        <x15:activeTabTopLevelEntity name="[Manufactur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416B3A5-20D5-4234-A8CC-47A17FF5A881}" name="PivotTable12"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6">
  <location ref="A8:B11"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3">
    <i>
      <x/>
    </i>
    <i>
      <x v="1"/>
    </i>
    <i>
      <x v="2"/>
    </i>
  </rowItems>
  <colItems count="1">
    <i/>
  </colItems>
  <dataFields count="1">
    <dataField name="Quantity Produced" fld="0" baseField="1" baseItem="1048828" numFmtId="3"/>
  </dataFields>
  <formats count="5">
    <format dxfId="165">
      <pivotArea type="all" dataOnly="0" outline="0" fieldPosition="0"/>
    </format>
    <format dxfId="164">
      <pivotArea outline="0" collapsedLevelsAreSubtotals="1" fieldPosition="0"/>
    </format>
    <format dxfId="163">
      <pivotArea field="1" type="button" dataOnly="0" labelOnly="1" outline="0" axis="axisRow" fieldPosition="0"/>
    </format>
    <format dxfId="162">
      <pivotArea dataOnly="0" labelOnly="1" fieldPosition="0">
        <references count="1">
          <reference field="1" count="0"/>
        </references>
      </pivotArea>
    </format>
    <format dxfId="161">
      <pivotArea dataOnly="0" labelOnly="1" outline="0" axis="axisValues" fieldPosition="0"/>
    </format>
  </formats>
  <chartFormats count="8">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 count="1" selected="0">
            <x v="0"/>
          </reference>
        </references>
      </pivotArea>
    </chartFormat>
    <chartFormat chart="7" format="10">
      <pivotArea type="data" outline="0" fieldPosition="0">
        <references count="2">
          <reference field="4294967294" count="1" selected="0">
            <x v="0"/>
          </reference>
          <reference field="1" count="1" selected="0">
            <x v="1"/>
          </reference>
        </references>
      </pivotArea>
    </chartFormat>
    <chartFormat chart="7" format="11">
      <pivotArea type="data" outline="0" fieldPosition="0">
        <references count="2">
          <reference field="4294967294" count="1" selected="0">
            <x v="0"/>
          </reference>
          <reference field="1" count="1" selected="0">
            <x v="2"/>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1" count="1" selected="0">
            <x v="0"/>
          </reference>
        </references>
      </pivotArea>
    </chartFormat>
    <chartFormat chart="9" format="18">
      <pivotArea type="data" outline="0" fieldPosition="0">
        <references count="2">
          <reference field="4294967294" count="1" selected="0">
            <x v="0"/>
          </reference>
          <reference field="1" count="1" selected="0">
            <x v="1"/>
          </reference>
        </references>
      </pivotArea>
    </chartFormat>
    <chartFormat chart="9" format="19">
      <pivotArea type="data" outline="0" fieldPosition="0">
        <references count="2">
          <reference field="4294967294" count="1" selected="0">
            <x v="0"/>
          </reference>
          <reference field="1" count="1" selected="0">
            <x v="2"/>
          </reference>
        </references>
      </pivotArea>
    </chartFormat>
  </chartFormats>
  <pivotHierarchies count="3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Quantity Produc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ynthetic_production_dataset.csv!Manufacturing">
        <x15:activeTabTopLevelEntity name="[Manufacturing]"/>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5F06B76-3D9D-42D0-A5D2-4F07CBBA629D}" sourceName="[Manufacturing].[Category]">
  <pivotTables>
    <pivotTable tabId="2" name="PivotTable1"/>
    <pivotTable tabId="2" name="PivotTable10"/>
    <pivotTable tabId="2" name="PivotTable11"/>
    <pivotTable tabId="2" name="PivotTable12"/>
    <pivotTable tabId="2" name="PivotTable13"/>
    <pivotTable tabId="2" name="PivotTable14"/>
    <pivotTable tabId="2" name="PivotTable15"/>
    <pivotTable tabId="2" name="PivotTable7"/>
    <pivotTable tabId="2" name="PivotTable8"/>
    <pivotTable tabId="2" name="PivotTable16"/>
    <pivotTable tabId="2" name="PivotTable17"/>
    <pivotTable tabId="2" name="PivotTable18"/>
    <pivotTable tabId="2" name="PivotTable3"/>
    <pivotTable tabId="2" name="PivotTable4"/>
    <pivotTable tabId="2" name="PivotTable5"/>
    <pivotTable tabId="2" name="PivotTable6"/>
    <pivotTable tabId="2" name="PivotTable9"/>
    <pivotTable tabId="2" name="PivotTable19"/>
    <pivotTable tabId="2" name="PivotTable20"/>
    <pivotTable tabId="2" name="PivotTable21"/>
    <pivotTable tabId="2" name="PivotTable22"/>
  </pivotTables>
  <data>
    <olap pivotCacheId="1026562501">
      <levels count="2">
        <level uniqueName="[Manufacturing].[Category].[(All)]" sourceCaption="(All)" count="0"/>
        <level uniqueName="[Manufacturing].[Category].[Category]" sourceCaption="Category" count="3">
          <ranges>
            <range startItem="0">
              <i n="[Manufacturing].[Category].&amp;[Electronics]" c="Electronics"/>
              <i n="[Manufacturing].[Category].&amp;[Mechanical]" c="Mechanical"/>
              <i n="[Manufacturing].[Category].&amp;[Tools]" c="Tools"/>
            </range>
          </ranges>
        </level>
      </levels>
      <selections count="1">
        <selection n="[Manufacturing].[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ing_Plant" xr10:uid="{6B5AAE2D-2D63-4320-92BA-F16FEC7E8350}" sourceName="[Manufacturing].[Manufacturing Plant]">
  <pivotTables>
    <pivotTable tabId="2" name="PivotTable1"/>
    <pivotTable tabId="2" name="PivotTable10"/>
    <pivotTable tabId="2" name="PivotTable11"/>
    <pivotTable tabId="2" name="PivotTable12"/>
    <pivotTable tabId="2" name="PivotTable13"/>
    <pivotTable tabId="2" name="PivotTable14"/>
    <pivotTable tabId="2" name="PivotTable15"/>
    <pivotTable tabId="2" name="PivotTable7"/>
    <pivotTable tabId="2" name="PivotTable8"/>
    <pivotTable tabId="2" name="PivotTable16"/>
    <pivotTable tabId="2" name="PivotTable17"/>
    <pivotTable tabId="2" name="PivotTable18"/>
    <pivotTable tabId="2" name="PivotTable3"/>
    <pivotTable tabId="2" name="PivotTable4"/>
    <pivotTable tabId="2" name="PivotTable5"/>
    <pivotTable tabId="2" name="PivotTable6"/>
    <pivotTable tabId="2" name="PivotTable9"/>
    <pivotTable tabId="2" name="PivotTable19"/>
    <pivotTable tabId="2" name="PivotTable20"/>
    <pivotTable tabId="2" name="PivotTable21"/>
    <pivotTable tabId="2" name="PivotTable22"/>
  </pivotTables>
  <data>
    <olap pivotCacheId="1026562501">
      <levels count="2">
        <level uniqueName="[Manufacturing].[Manufacturing Plant].[(All)]" sourceCaption="(All)" count="0"/>
        <level uniqueName="[Manufacturing].[Manufacturing Plant].[Manufacturing Plant]" sourceCaption="Manufacturing Plant" count="3">
          <ranges>
            <range startItem="0">
              <i n="[Manufacturing].[Manufacturing Plant].&amp;[Plant A]" c="Plant A"/>
              <i n="[Manufacturing].[Manufacturing Plant].&amp;[Plant B]" c="Plant B"/>
              <i n="[Manufacturing].[Manufacturing Plant].&amp;[Plant C]" c="Plant C"/>
            </range>
          </ranges>
        </level>
      </levels>
      <selections count="1">
        <selection n="[Manufacturing].[Manufacturing Pla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D3B76D5-9954-4A77-84BA-3D910A017A1F}" sourceName="[Manufacturing].[Month]">
  <pivotTables>
    <pivotTable tabId="2" name="PivotTable1"/>
    <pivotTable tabId="2" name="PivotTable10"/>
    <pivotTable tabId="2" name="PivotTable11"/>
    <pivotTable tabId="2" name="PivotTable12"/>
    <pivotTable tabId="2" name="PivotTable13"/>
    <pivotTable tabId="2" name="PivotTable14"/>
    <pivotTable tabId="2" name="PivotTable15"/>
    <pivotTable tabId="2" name="PivotTable7"/>
    <pivotTable tabId="2" name="PivotTable8"/>
    <pivotTable tabId="2" name="PivotTable16"/>
    <pivotTable tabId="2" name="PivotTable17"/>
    <pivotTable tabId="2" name="PivotTable18"/>
    <pivotTable tabId="2" name="PivotTable3"/>
    <pivotTable tabId="2" name="PivotTable4"/>
    <pivotTable tabId="2" name="PivotTable5"/>
    <pivotTable tabId="2" name="PivotTable6"/>
    <pivotTable tabId="2" name="PivotTable9"/>
    <pivotTable tabId="2" name="PivotTable19"/>
    <pivotTable tabId="2" name="PivotTable20"/>
    <pivotTable tabId="2" name="PivotTable21"/>
    <pivotTable tabId="2" name="PivotTable22"/>
  </pivotTables>
  <data>
    <olap pivotCacheId="1026562501">
      <levels count="2">
        <level uniqueName="[Manufacturing].[Month].[(All)]" sourceCaption="(All)" count="0"/>
        <level uniqueName="[Manufacturing].[Month].[Month]" sourceCaption="Month" count="12">
          <ranges>
            <range startItem="0">
              <i n="[Manufacturing].[Month].&amp;[1]" c="1"/>
              <i n="[Manufacturing].[Month].&amp;[2]" c="2"/>
              <i n="[Manufacturing].[Month].&amp;[3]" c="3"/>
              <i n="[Manufacturing].[Month].&amp;[4]" c="4"/>
              <i n="[Manufacturing].[Month].&amp;[5]" c="5"/>
              <i n="[Manufacturing].[Month].&amp;[6]" c="6"/>
              <i n="[Manufacturing].[Month].&amp;[7]" c="7"/>
              <i n="[Manufacturing].[Month].&amp;[8]" c="8"/>
              <i n="[Manufacturing].[Month].&amp;[9]" c="9"/>
              <i n="[Manufacturing].[Month].&amp;[10]" c="10"/>
              <i n="[Manufacturing].[Month].&amp;[11]" c="11"/>
              <i n="[Manufacturing].[Month].&amp;[12]" c="12"/>
            </range>
          </ranges>
        </level>
      </levels>
      <selections count="1">
        <selection n="[Manufacturing].[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078F9E0-022D-4E73-97C4-4638A14E2B5A}" sourceName="[Manufacturing].[Product]">
  <pivotTables>
    <pivotTable tabId="2" name="PivotTable1"/>
    <pivotTable tabId="2" name="PivotTable10"/>
    <pivotTable tabId="2" name="PivotTable11"/>
    <pivotTable tabId="2" name="PivotTable12"/>
    <pivotTable tabId="2" name="PivotTable13"/>
    <pivotTable tabId="2" name="PivotTable14"/>
    <pivotTable tabId="2" name="PivotTable15"/>
    <pivotTable tabId="2" name="PivotTable7"/>
    <pivotTable tabId="2" name="PivotTable8"/>
    <pivotTable tabId="2" name="PivotTable16"/>
    <pivotTable tabId="2" name="PivotTable17"/>
    <pivotTable tabId="2" name="PivotTable18"/>
    <pivotTable tabId="2" name="PivotTable3"/>
    <pivotTable tabId="2" name="PivotTable4"/>
    <pivotTable tabId="2" name="PivotTable5"/>
    <pivotTable tabId="2" name="PivotTable6"/>
    <pivotTable tabId="2" name="PivotTable9"/>
    <pivotTable tabId="2" name="PivotTable19"/>
    <pivotTable tabId="2" name="PivotTable20"/>
    <pivotTable tabId="2" name="PivotTable21"/>
    <pivotTable tabId="2" name="PivotTable22"/>
  </pivotTables>
  <data>
    <olap pivotCacheId="1026562501">
      <levels count="2">
        <level uniqueName="[Manufacturing].[Product].[(All)]" sourceCaption="(All)" count="0"/>
        <level uniqueName="[Manufacturing].[Product].[Product]" sourceCaption="Product" count="5">
          <ranges>
            <range startItem="0">
              <i n="[Manufacturing].[Product].&amp;[Gadget X]" c="Gadget X"/>
              <i n="[Manufacturing].[Product].&amp;[Gadget Y]" c="Gadget Y"/>
              <i n="[Manufacturing].[Product].&amp;[Tool Z]" c="Tool Z"/>
              <i n="[Manufacturing].[Product].&amp;[Widget A]" c="Widget A"/>
              <i n="[Manufacturing].[Product].&amp;[Widget B]" c="Widget B"/>
            </range>
          </ranges>
        </level>
      </levels>
      <selections count="1">
        <selection n="[Manufacturing].[Produc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ervisor" xr10:uid="{1C603867-FF29-4AE6-9514-41A6B6583D75}" sourceName="[Manufacturing].[Supervisor]">
  <pivotTables>
    <pivotTable tabId="2" name="PivotTable1"/>
    <pivotTable tabId="2" name="PivotTable10"/>
    <pivotTable tabId="2" name="PivotTable11"/>
    <pivotTable tabId="2" name="PivotTable12"/>
    <pivotTable tabId="2" name="PivotTable13"/>
    <pivotTable tabId="2" name="PivotTable14"/>
    <pivotTable tabId="2" name="PivotTable15"/>
    <pivotTable tabId="2" name="PivotTable7"/>
    <pivotTable tabId="2" name="PivotTable8"/>
    <pivotTable tabId="2" name="PivotTable16"/>
    <pivotTable tabId="2" name="PivotTable17"/>
    <pivotTable tabId="2" name="PivotTable18"/>
    <pivotTable tabId="2" name="PivotTable3"/>
    <pivotTable tabId="2" name="PivotTable4"/>
    <pivotTable tabId="2" name="PivotTable5"/>
    <pivotTable tabId="2" name="PivotTable6"/>
    <pivotTable tabId="2" name="PivotTable9"/>
    <pivotTable tabId="2" name="PivotTable19"/>
    <pivotTable tabId="2" name="PivotTable20"/>
    <pivotTable tabId="2" name="PivotTable21"/>
    <pivotTable tabId="2" name="PivotTable22"/>
  </pivotTables>
  <data>
    <olap pivotCacheId="1026562501">
      <levels count="2">
        <level uniqueName="[Manufacturing].[Supervisor].[(All)]" sourceCaption="(All)" count="0"/>
        <level uniqueName="[Manufacturing].[Supervisor].[Supervisor]" sourceCaption="Supervisor" count="5">
          <ranges>
            <range startItem="0">
              <i n="[Manufacturing].[Supervisor].&amp;[Alice]" c="Alice"/>
              <i n="[Manufacturing].[Supervisor].&amp;[Bob]" c="Bob"/>
              <i n="[Manufacturing].[Supervisor].&amp;[Charlie]" c="Charlie"/>
              <i n="[Manufacturing].[Supervisor].&amp;[Diana]" c="Diana"/>
              <i n="[Manufacturing].[Supervisor].&amp;[Ethan]" c="Ethan"/>
            </range>
          </ranges>
        </level>
      </levels>
      <selections count="1">
        <selection n="[Manufacturing].[Superviso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6890C71-7242-4EC9-A277-206D4AB9F93B}" sourceName="[Manufacturing].[Year]">
  <pivotTables>
    <pivotTable tabId="2" name="PivotTable1"/>
    <pivotTable tabId="2" name="PivotTable10"/>
    <pivotTable tabId="2" name="PivotTable11"/>
    <pivotTable tabId="2" name="PivotTable12"/>
    <pivotTable tabId="2" name="PivotTable13"/>
    <pivotTable tabId="2" name="PivotTable14"/>
    <pivotTable tabId="2" name="PivotTable15"/>
    <pivotTable tabId="2" name="PivotTable7"/>
    <pivotTable tabId="2" name="PivotTable8"/>
    <pivotTable tabId="2" name="PivotTable16"/>
    <pivotTable tabId="2" name="PivotTable17"/>
    <pivotTable tabId="2" name="PivotTable18"/>
    <pivotTable tabId="2" name="PivotTable3"/>
    <pivotTable tabId="2" name="PivotTable4"/>
    <pivotTable tabId="2" name="PivotTable5"/>
    <pivotTable tabId="2" name="PivotTable6"/>
    <pivotTable tabId="2" name="PivotTable9"/>
    <pivotTable tabId="2" name="PivotTable19"/>
    <pivotTable tabId="2" name="PivotTable20"/>
    <pivotTable tabId="2" name="PivotTable21"/>
    <pivotTable tabId="2" name="PivotTable22"/>
  </pivotTables>
  <data>
    <olap pivotCacheId="1026562501">
      <levels count="2">
        <level uniqueName="[Manufacturing].[Year].[(All)]" sourceCaption="(All)" count="0"/>
        <level uniqueName="[Manufacturing].[Year].[Year]" sourceCaption="Year" count="2">
          <ranges>
            <range startItem="0">
              <i n="[Manufacturing].[Year].&amp;[2024]" c="2024"/>
              <i n="[Manufacturing].[Year].&amp;[2025]" c="2025"/>
            </range>
          </ranges>
        </level>
      </levels>
      <selections count="1">
        <selection n="[Manufacturing].[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D041E5B-667D-4943-A6C3-8F1E465939F1}" cache="Slicer_Category" caption="Category" level="1" style="Slicer Style 2" rowHeight="257175"/>
  <slicer name="Manufacturing Plant" xr10:uid="{128BA836-4112-4EEF-81B2-FB62F5C6E277}" cache="Slicer_Manufacturing_Plant" caption="Manuf. Plant" level="1" style="Slicer Style 2" rowHeight="257175"/>
  <slicer name="Month" xr10:uid="{5DD15E60-F60C-4505-80C7-6EAA12F365D5}" cache="Slicer_Month" caption="Month" columnCount="2" level="1" style="Slicer Style 2" rowHeight="257175"/>
  <slicer name="Product" xr10:uid="{A0EEB0A3-DA98-4C67-B518-738E64B9557E}" cache="Slicer_Product" caption="Product" level="1" style="Slicer Style 2" rowHeight="257175"/>
  <slicer name="Supervisor" xr10:uid="{692EB163-F176-44E4-8CAC-185F0F1F6A7A}" cache="Slicer_Supervisor" caption="Supervisor" columnCount="2" level="1" style="Slicer Style 2" rowHeight="257175"/>
  <slicer name="Year" xr10:uid="{B862FA52-E876-490C-BDF8-42546131CA35}" cache="Slicer_Year" caption="Year" level="1" style="Slicer Style 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C3ED8F7-D414-42E0-8AF0-BB3F99846F12}" cache="Slicer_Category" caption="Category" level="1" style="Slicer Style 2" rowHeight="257175"/>
  <slicer name="Manufacturing Plant 1" xr10:uid="{AD7AB963-42E8-4464-9F8E-40EF1E9C3380}" cache="Slicer_Manufacturing_Plant" caption="Manuf. Plant" level="1" style="Slicer Style 2" rowHeight="257175"/>
  <slicer name="Month 1" xr10:uid="{8B67CEC7-7BEC-471A-8A77-8F6F6F651A19}" cache="Slicer_Month" caption="Month" columnCount="2" level="1" style="Slicer Style 2" rowHeight="257175"/>
  <slicer name="Product 1" xr10:uid="{9DA06F06-B222-4AB1-B564-C28307F2DD76}" cache="Slicer_Product" caption="Product" level="1" style="Slicer Style 2" rowHeight="257175"/>
  <slicer name="Supervisor 1" xr10:uid="{2ED5C74A-DB27-4E72-9AFA-1A4EE36E1E5C}" cache="Slicer_Supervisor" caption="Supervisor" columnCount="2" level="1" style="Slicer Style 2" rowHeight="257175"/>
  <slicer name="Year 1" xr10:uid="{8EF627FD-836A-4567-8B82-6411E61649CD}" cache="Slicer_Year" caption="Year" level="1" style="Slicer Style 2"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FB6DAE11-12B0-4762-8DAD-23E8FACC117D}" cache="Slicer_Category" caption="Category" level="1" style="Slicer Style 2" rowHeight="257175"/>
  <slicer name="Manufacturing Plant 2" xr10:uid="{96A0FB01-7518-4287-BDC3-29519AF6670E}" cache="Slicer_Manufacturing_Plant" caption="Manuf. Plant" level="1" style="Slicer Style 2" rowHeight="257175"/>
  <slicer name="Month 2" xr10:uid="{E7938C9C-C501-4E9A-8FEC-BAFBD6CD1A66}" cache="Slicer_Month" caption="Month" columnCount="2" level="1" style="Slicer Style 2" rowHeight="257175"/>
  <slicer name="Product 2" xr10:uid="{8B65E891-8996-4455-BF91-BADF46848B9A}" cache="Slicer_Product" caption="Product" level="1" style="Slicer Style 2" rowHeight="257175"/>
  <slicer name="Supervisor 2" xr10:uid="{33301D1A-6736-4D88-A17C-0FBC1DA8FEFD}" cache="Slicer_Supervisor" caption="Supervisor" columnCount="2" level="1" style="Slicer Style 2" rowHeight="257175"/>
  <slicer name="Year 2" xr10:uid="{4810CB52-C5FA-4152-A7E1-94A661AC4371}" cache="Slicer_Year" caption="Year" level="1" style="Slicer Style 2"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849BB110-B2DC-4D06-800C-8D1C39ACB1C4}" cache="Slicer_Category" caption="Category" level="1" style="Slicer Style 2" rowHeight="257175"/>
  <slicer name="Manufacturing Plant 3" xr10:uid="{1AF5D065-9DF6-4EE9-9803-BF715DC4B542}" cache="Slicer_Manufacturing_Plant" caption="Manuf. Plant" level="1" style="Slicer Style 2" rowHeight="257175"/>
  <slicer name="Month 3" xr10:uid="{41F001C8-439F-4CE9-AD82-A7AE6578B6E9}" cache="Slicer_Month" caption="Month" columnCount="2" level="1" style="Slicer Style 2" rowHeight="257175"/>
  <slicer name="Product 3" xr10:uid="{FC24417A-1579-40DE-9AC3-BDF20DB4B698}" cache="Slicer_Product" caption="Product" level="1" style="Slicer Style 2" rowHeight="257175"/>
  <slicer name="Supervisor 3" xr10:uid="{FA3AEA73-62BA-4A26-ADCD-125B8645576C}" cache="Slicer_Supervisor" caption="Supervisor" columnCount="2" level="1" style="Slicer Style 2" rowHeight="257175"/>
  <slicer name="Year 3" xr10:uid="{11E3EA68-8E51-48D8-A1F6-86DB491C5CFB}" cache="Slicer_Year" caption="Year" level="1" style="Slicer Style 2"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4" xr10:uid="{3C8B8886-1519-417C-8B79-0A061492C74E}" cache="Slicer_Category" caption="Category" level="1" style="Slicer Style 2" rowHeight="257175"/>
  <slicer name="Manufacturing Plant 4" xr10:uid="{2A2902E5-E831-441A-8CF5-5AF502BD12E9}" cache="Slicer_Manufacturing_Plant" caption="Manuf. Plant" level="1" style="Slicer Style 2" rowHeight="257175"/>
  <slicer name="Month 4" xr10:uid="{89C034E8-1C46-4828-BA8B-463FB2DDB30C}" cache="Slicer_Month" caption="Month" columnCount="2" level="1" style="Slicer Style 2" rowHeight="257175"/>
  <slicer name="Product 4" xr10:uid="{A31BBAAB-081A-4B56-8A34-D6240F0D5538}" cache="Slicer_Product" caption="Product" level="1" style="Slicer Style 2" rowHeight="257175"/>
  <slicer name="Supervisor 4" xr10:uid="{A3BDE749-9689-4F98-9455-75F032A7E63E}" cache="Slicer_Supervisor" caption="Supervisor" columnCount="2" level="1" style="Slicer Style 2" rowHeight="257175"/>
  <slicer name="Year 4" xr10:uid="{932E0F49-495E-40CE-B146-8250D54B4D0C}" cache="Slicer_Year" caption="Year" level="1" style="Slicer Style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9F1380-72C5-4853-AC03-010FF3D77043}" name="Manufacturing" displayName="Manufacturing" ref="A1:O501" totalsRowShown="0">
  <autoFilter ref="A1:O501" xr:uid="{179F1380-72C5-4853-AC03-010FF3D77043}"/>
  <tableColumns count="15">
    <tableColumn id="1" xr3:uid="{97557790-1E28-479B-9D48-A295B24664C7}" name="Order ID"/>
    <tableColumn id="2" xr3:uid="{6293D209-62FE-4B37-9E64-89BA95F2D3B5}" name="Product"/>
    <tableColumn id="3" xr3:uid="{EBDCE1AA-1AB7-46C7-99C2-1A6DDF32F1AF}" name="Category"/>
    <tableColumn id="4" xr3:uid="{036C4922-E9D2-465B-9DA0-7350CA27C626}" name="Manufacturing Plant"/>
    <tableColumn id="5" xr3:uid="{27AB9B82-D8CB-4239-A2A2-E6EC36FD7EDD}" name="Production Date" dataDxfId="173"/>
    <tableColumn id="6" xr3:uid="{7FC6F692-4B1A-477B-B34A-945EE1798870}" name="Quantity Produced" dataDxfId="172"/>
    <tableColumn id="7" xr3:uid="{998222A5-B3FC-48A7-800A-0B12F825B85A}" name="Defects" dataDxfId="171"/>
    <tableColumn id="8" xr3:uid="{301367C9-7599-4FE8-B996-993DB80C11B5}" name="Downtime (Hours)"/>
    <tableColumn id="9" xr3:uid="{560DF39A-F438-452E-A70A-F4765FA67EEE}" name="Production Cost ($)" dataDxfId="170"/>
    <tableColumn id="10" xr3:uid="{FF40A1A9-262F-4481-9782-88F11C320605}" name="Sales Revenue ($)" dataDxfId="169"/>
    <tableColumn id="11" xr3:uid="{FEBE551C-75AE-4664-9DB6-DC1383255587}" name="Efficiency (%)"/>
    <tableColumn id="12" xr3:uid="{A40A5A48-35A6-4ECB-A9D2-EAE99B7BF9EF}" name="Supervisor"/>
    <tableColumn id="13" xr3:uid="{7D7AE461-F842-436B-9ED1-BBB56E37E284}" name="Month" dataDxfId="168">
      <calculatedColumnFormula>MONTH(Manufacturing[[#This Row],[Production Date]])</calculatedColumnFormula>
    </tableColumn>
    <tableColumn id="14" xr3:uid="{CB96420F-0D01-4D87-8E8B-A84286428FA2}" name="Year" dataDxfId="167">
      <calculatedColumnFormula>YEAR(Manufacturing[[#This Row],[Production Date]])</calculatedColumnFormula>
    </tableColumn>
    <tableColumn id="15" xr3:uid="{4389B854-5B5C-45CC-A76A-60BF54B1DD5E}" name="Defect Range" dataDxfId="166">
      <calculatedColumnFormula>IF(G2&lt;=9,"0-9",IF(G2&lt;=19,"10-19",IF(G2&lt;=29,"20-29",IF(G2&lt;=39,"30-39",IF(G2&lt;=49,"40-49","50+")))))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188D7-C831-42D1-88C4-2777947E190A}">
  <dimension ref="A1:O501"/>
  <sheetViews>
    <sheetView topLeftCell="H1" workbookViewId="0">
      <selection activeCell="O22" sqref="O22:O485"/>
    </sheetView>
  </sheetViews>
  <sheetFormatPr defaultRowHeight="15"/>
  <cols>
    <col min="1" max="1" width="10.7109375" customWidth="1"/>
    <col min="2" max="2" width="10.140625" customWidth="1"/>
    <col min="3" max="3" width="11.28515625" bestFit="1" customWidth="1"/>
    <col min="4" max="4" width="21" customWidth="1"/>
    <col min="5" max="5" width="17.7109375" customWidth="1"/>
    <col min="6" max="6" width="19.85546875" customWidth="1"/>
    <col min="7" max="7" width="10.28515625" customWidth="1"/>
    <col min="8" max="8" width="19.7109375" customWidth="1"/>
    <col min="9" max="9" width="20.5703125" customWidth="1"/>
    <col min="10" max="10" width="19.28515625" customWidth="1"/>
    <col min="11" max="11" width="15.5703125" customWidth="1"/>
    <col min="12" max="12" width="12.85546875"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s="1">
        <v>45949</v>
      </c>
      <c r="F2" s="3">
        <v>235</v>
      </c>
      <c r="G2" s="3">
        <v>21</v>
      </c>
      <c r="H2">
        <v>9.7200000000000006</v>
      </c>
      <c r="I2" s="2">
        <v>1113.1199999999999</v>
      </c>
      <c r="J2" s="2">
        <v>1408.1</v>
      </c>
      <c r="K2">
        <v>90.47</v>
      </c>
      <c r="L2" t="s">
        <v>19</v>
      </c>
      <c r="M2">
        <f>MONTH(Manufacturing[[#This Row],[Production Date]])</f>
        <v>10</v>
      </c>
      <c r="N2">
        <f>YEAR(Manufacturing[[#This Row],[Production Date]])</f>
        <v>2025</v>
      </c>
      <c r="O2" t="str">
        <f>IF(G2&lt;=9,"0-9",IF(G2&lt;=19,"10-19",IF(G2&lt;=29,"20-29",IF(G2&lt;=39,"30-39",IF(G2&lt;=49,"40-49","50+")))))</f>
        <v>20-29</v>
      </c>
    </row>
    <row r="3" spans="1:15">
      <c r="A3" t="s">
        <v>20</v>
      </c>
      <c r="B3" t="s">
        <v>21</v>
      </c>
      <c r="C3" t="s">
        <v>22</v>
      </c>
      <c r="D3" t="s">
        <v>23</v>
      </c>
      <c r="E3" s="1">
        <v>45751</v>
      </c>
      <c r="F3" s="3">
        <v>1169</v>
      </c>
      <c r="G3" s="3">
        <v>38</v>
      </c>
      <c r="H3">
        <v>0.1</v>
      </c>
      <c r="I3" s="2">
        <v>42611.27</v>
      </c>
      <c r="J3" s="2">
        <v>55633.14</v>
      </c>
      <c r="K3">
        <v>73.47</v>
      </c>
      <c r="L3" t="s">
        <v>24</v>
      </c>
      <c r="M3">
        <f>MONTH(Manufacturing[[#This Row],[Production Date]])</f>
        <v>4</v>
      </c>
      <c r="N3">
        <f>YEAR(Manufacturing[[#This Row],[Production Date]])</f>
        <v>2025</v>
      </c>
      <c r="O3" t="str">
        <f t="shared" ref="O3:O66" si="0">IF(G3&lt;=9,"0-9",IF(G3&lt;=19,"10-19",IF(G3&lt;=29,"20-29",IF(G3&lt;=39,"30-39",IF(G3&lt;=49,"40-49","50+")))))</f>
        <v>30-39</v>
      </c>
    </row>
    <row r="4" spans="1:15">
      <c r="A4" t="s">
        <v>25</v>
      </c>
      <c r="B4" t="s">
        <v>26</v>
      </c>
      <c r="C4" t="s">
        <v>17</v>
      </c>
      <c r="D4" t="s">
        <v>27</v>
      </c>
      <c r="E4" s="1">
        <v>45665</v>
      </c>
      <c r="F4" s="3">
        <v>592</v>
      </c>
      <c r="G4" s="3">
        <v>34</v>
      </c>
      <c r="H4">
        <v>1.88</v>
      </c>
      <c r="I4" s="2">
        <v>37989.839999999997</v>
      </c>
      <c r="J4" s="2">
        <v>52102.720000000001</v>
      </c>
      <c r="K4">
        <v>83.92</v>
      </c>
      <c r="L4" t="s">
        <v>19</v>
      </c>
      <c r="M4">
        <f>MONTH(Manufacturing[[#This Row],[Production Date]])</f>
        <v>1</v>
      </c>
      <c r="N4">
        <f>YEAR(Manufacturing[[#This Row],[Production Date]])</f>
        <v>2025</v>
      </c>
      <c r="O4" t="str">
        <f t="shared" si="0"/>
        <v>30-39</v>
      </c>
    </row>
    <row r="5" spans="1:15">
      <c r="A5" t="s">
        <v>28</v>
      </c>
      <c r="B5" t="s">
        <v>26</v>
      </c>
      <c r="C5" t="s">
        <v>17</v>
      </c>
      <c r="D5" t="s">
        <v>18</v>
      </c>
      <c r="E5" s="1">
        <v>45878</v>
      </c>
      <c r="F5" s="3">
        <v>1043</v>
      </c>
      <c r="G5" s="3">
        <v>34</v>
      </c>
      <c r="H5">
        <v>8.11</v>
      </c>
      <c r="I5" s="2">
        <v>15171.37</v>
      </c>
      <c r="J5" s="2">
        <v>21983.54</v>
      </c>
      <c r="K5">
        <v>81.87</v>
      </c>
      <c r="L5" t="s">
        <v>29</v>
      </c>
      <c r="M5">
        <f>MONTH(Manufacturing[[#This Row],[Production Date]])</f>
        <v>8</v>
      </c>
      <c r="N5">
        <f>YEAR(Manufacturing[[#This Row],[Production Date]])</f>
        <v>2025</v>
      </c>
      <c r="O5" t="str">
        <f t="shared" si="0"/>
        <v>30-39</v>
      </c>
    </row>
    <row r="6" spans="1:15">
      <c r="A6" t="s">
        <v>30</v>
      </c>
      <c r="B6" t="s">
        <v>31</v>
      </c>
      <c r="C6" t="s">
        <v>32</v>
      </c>
      <c r="D6" t="s">
        <v>27</v>
      </c>
      <c r="E6" s="1">
        <v>45888</v>
      </c>
      <c r="F6" s="3">
        <v>3126</v>
      </c>
      <c r="G6" s="3">
        <v>45</v>
      </c>
      <c r="H6">
        <v>5.94</v>
      </c>
      <c r="I6" s="2">
        <v>34199.75</v>
      </c>
      <c r="J6" s="2">
        <v>42615.4</v>
      </c>
      <c r="K6">
        <v>70.430000000000007</v>
      </c>
      <c r="L6" t="s">
        <v>33</v>
      </c>
      <c r="M6">
        <f>MONTH(Manufacturing[[#This Row],[Production Date]])</f>
        <v>8</v>
      </c>
      <c r="N6">
        <f>YEAR(Manufacturing[[#This Row],[Production Date]])</f>
        <v>2025</v>
      </c>
      <c r="O6" t="str">
        <f t="shared" si="0"/>
        <v>40-49</v>
      </c>
    </row>
    <row r="7" spans="1:15">
      <c r="A7" t="s">
        <v>34</v>
      </c>
      <c r="B7" t="s">
        <v>26</v>
      </c>
      <c r="C7" t="s">
        <v>32</v>
      </c>
      <c r="D7" t="s">
        <v>23</v>
      </c>
      <c r="E7" s="1">
        <v>45663</v>
      </c>
      <c r="F7" s="3">
        <v>3017</v>
      </c>
      <c r="G7" s="3">
        <v>25</v>
      </c>
      <c r="H7">
        <v>9.7200000000000006</v>
      </c>
      <c r="I7" s="2">
        <v>47335.88</v>
      </c>
      <c r="J7" s="2">
        <v>70358.7</v>
      </c>
      <c r="K7">
        <v>97.44</v>
      </c>
      <c r="L7" t="s">
        <v>33</v>
      </c>
      <c r="M7">
        <f>MONTH(Manufacturing[[#This Row],[Production Date]])</f>
        <v>1</v>
      </c>
      <c r="N7">
        <f>YEAR(Manufacturing[[#This Row],[Production Date]])</f>
        <v>2025</v>
      </c>
      <c r="O7" t="str">
        <f t="shared" si="0"/>
        <v>20-29</v>
      </c>
    </row>
    <row r="8" spans="1:15">
      <c r="A8" t="s">
        <v>35</v>
      </c>
      <c r="B8" t="s">
        <v>36</v>
      </c>
      <c r="C8" t="s">
        <v>22</v>
      </c>
      <c r="D8" t="s">
        <v>18</v>
      </c>
      <c r="E8" s="1">
        <v>45688</v>
      </c>
      <c r="F8" s="3">
        <v>3805</v>
      </c>
      <c r="G8" s="3">
        <v>14</v>
      </c>
      <c r="H8">
        <v>7.62</v>
      </c>
      <c r="I8" s="2">
        <v>16564.21</v>
      </c>
      <c r="J8" s="2">
        <v>23671.119999999999</v>
      </c>
      <c r="K8">
        <v>87.09</v>
      </c>
      <c r="L8" t="s">
        <v>37</v>
      </c>
      <c r="M8">
        <f>MONTH(Manufacturing[[#This Row],[Production Date]])</f>
        <v>1</v>
      </c>
      <c r="N8">
        <f>YEAR(Manufacturing[[#This Row],[Production Date]])</f>
        <v>2025</v>
      </c>
      <c r="O8" t="str">
        <f t="shared" si="0"/>
        <v>10-19</v>
      </c>
    </row>
    <row r="9" spans="1:15">
      <c r="A9" t="s">
        <v>38</v>
      </c>
      <c r="B9" t="s">
        <v>31</v>
      </c>
      <c r="C9" t="s">
        <v>17</v>
      </c>
      <c r="D9" t="s">
        <v>18</v>
      </c>
      <c r="E9" s="1">
        <v>45606</v>
      </c>
      <c r="F9" s="3">
        <v>1357</v>
      </c>
      <c r="G9" s="3">
        <v>4</v>
      </c>
      <c r="H9">
        <v>7.72</v>
      </c>
      <c r="I9" s="2">
        <v>45827.02</v>
      </c>
      <c r="J9" s="2">
        <v>52902.32</v>
      </c>
      <c r="K9">
        <v>89.29</v>
      </c>
      <c r="L9" t="s">
        <v>33</v>
      </c>
      <c r="M9">
        <f>MONTH(Manufacturing[[#This Row],[Production Date]])</f>
        <v>11</v>
      </c>
      <c r="N9">
        <f>YEAR(Manufacturing[[#This Row],[Production Date]])</f>
        <v>2024</v>
      </c>
      <c r="O9" t="str">
        <f t="shared" si="0"/>
        <v>0-9</v>
      </c>
    </row>
    <row r="10" spans="1:15">
      <c r="A10" t="s">
        <v>39</v>
      </c>
      <c r="B10" t="s">
        <v>16</v>
      </c>
      <c r="C10" t="s">
        <v>17</v>
      </c>
      <c r="D10" t="s">
        <v>27</v>
      </c>
      <c r="E10" s="1">
        <v>45736</v>
      </c>
      <c r="F10" s="3">
        <v>3837</v>
      </c>
      <c r="G10" s="3">
        <v>7</v>
      </c>
      <c r="H10">
        <v>4.41</v>
      </c>
      <c r="I10" s="2">
        <v>45850.02</v>
      </c>
      <c r="J10" s="2">
        <v>67688.25</v>
      </c>
      <c r="K10">
        <v>92.93</v>
      </c>
      <c r="L10" t="s">
        <v>24</v>
      </c>
      <c r="M10">
        <f>MONTH(Manufacturing[[#This Row],[Production Date]])</f>
        <v>3</v>
      </c>
      <c r="N10">
        <f>YEAR(Manufacturing[[#This Row],[Production Date]])</f>
        <v>2025</v>
      </c>
      <c r="O10" t="str">
        <f t="shared" si="0"/>
        <v>0-9</v>
      </c>
    </row>
    <row r="11" spans="1:15">
      <c r="A11" t="s">
        <v>40</v>
      </c>
      <c r="B11" t="s">
        <v>21</v>
      </c>
      <c r="C11" t="s">
        <v>17</v>
      </c>
      <c r="D11" t="s">
        <v>18</v>
      </c>
      <c r="E11" s="1">
        <v>45758</v>
      </c>
      <c r="F11" s="3">
        <v>2169</v>
      </c>
      <c r="G11" s="3">
        <v>47</v>
      </c>
      <c r="H11">
        <v>8.83</v>
      </c>
      <c r="I11" s="2">
        <v>48661.42</v>
      </c>
      <c r="J11" s="2">
        <v>54222.51</v>
      </c>
      <c r="K11">
        <v>89.28</v>
      </c>
      <c r="L11" t="s">
        <v>29</v>
      </c>
      <c r="M11">
        <f>MONTH(Manufacturing[[#This Row],[Production Date]])</f>
        <v>4</v>
      </c>
      <c r="N11">
        <f>YEAR(Manufacturing[[#This Row],[Production Date]])</f>
        <v>2025</v>
      </c>
      <c r="O11" t="str">
        <f t="shared" si="0"/>
        <v>40-49</v>
      </c>
    </row>
    <row r="12" spans="1:15">
      <c r="A12" t="s">
        <v>41</v>
      </c>
      <c r="B12" t="s">
        <v>31</v>
      </c>
      <c r="C12" t="s">
        <v>22</v>
      </c>
      <c r="D12" t="s">
        <v>23</v>
      </c>
      <c r="E12" s="1">
        <v>45633</v>
      </c>
      <c r="F12" s="3">
        <v>3139</v>
      </c>
      <c r="G12" s="3">
        <v>12</v>
      </c>
      <c r="H12">
        <v>5.24</v>
      </c>
      <c r="I12" s="2">
        <v>30127.7</v>
      </c>
      <c r="J12" s="2">
        <v>33451.18</v>
      </c>
      <c r="K12">
        <v>95.96</v>
      </c>
      <c r="L12" t="s">
        <v>19</v>
      </c>
      <c r="M12">
        <f>MONTH(Manufacturing[[#This Row],[Production Date]])</f>
        <v>12</v>
      </c>
      <c r="N12">
        <f>YEAR(Manufacturing[[#This Row],[Production Date]])</f>
        <v>2024</v>
      </c>
      <c r="O12" t="str">
        <f t="shared" si="0"/>
        <v>10-19</v>
      </c>
    </row>
    <row r="13" spans="1:15">
      <c r="A13" t="s">
        <v>42</v>
      </c>
      <c r="B13" t="s">
        <v>31</v>
      </c>
      <c r="C13" t="s">
        <v>17</v>
      </c>
      <c r="D13" t="s">
        <v>27</v>
      </c>
      <c r="E13" s="1">
        <v>45817</v>
      </c>
      <c r="F13" s="3">
        <v>2870</v>
      </c>
      <c r="G13" s="3">
        <v>36</v>
      </c>
      <c r="H13">
        <v>5.87</v>
      </c>
      <c r="I13" s="2">
        <v>24542.78</v>
      </c>
      <c r="J13" s="2">
        <v>33425.46</v>
      </c>
      <c r="K13">
        <v>96.28</v>
      </c>
      <c r="L13" t="s">
        <v>33</v>
      </c>
      <c r="M13">
        <f>MONTH(Manufacturing[[#This Row],[Production Date]])</f>
        <v>6</v>
      </c>
      <c r="N13">
        <f>YEAR(Manufacturing[[#This Row],[Production Date]])</f>
        <v>2025</v>
      </c>
      <c r="O13" t="str">
        <f t="shared" si="0"/>
        <v>30-39</v>
      </c>
    </row>
    <row r="14" spans="1:15">
      <c r="A14" t="s">
        <v>43</v>
      </c>
      <c r="B14" t="s">
        <v>21</v>
      </c>
      <c r="C14" t="s">
        <v>17</v>
      </c>
      <c r="D14" t="s">
        <v>18</v>
      </c>
      <c r="E14" s="1">
        <v>45893</v>
      </c>
      <c r="F14" s="3">
        <v>3880</v>
      </c>
      <c r="G14" s="3">
        <v>29</v>
      </c>
      <c r="H14">
        <v>1.56</v>
      </c>
      <c r="I14" s="2">
        <v>14114.79</v>
      </c>
      <c r="J14" s="2">
        <v>20013.97</v>
      </c>
      <c r="K14">
        <v>77.78</v>
      </c>
      <c r="L14" t="s">
        <v>19</v>
      </c>
      <c r="M14">
        <f>MONTH(Manufacturing[[#This Row],[Production Date]])</f>
        <v>8</v>
      </c>
      <c r="N14">
        <f>YEAR(Manufacturing[[#This Row],[Production Date]])</f>
        <v>2025</v>
      </c>
      <c r="O14" t="str">
        <f t="shared" si="0"/>
        <v>20-29</v>
      </c>
    </row>
    <row r="15" spans="1:15">
      <c r="A15" t="s">
        <v>44</v>
      </c>
      <c r="B15" t="s">
        <v>36</v>
      </c>
      <c r="C15" t="s">
        <v>22</v>
      </c>
      <c r="D15" t="s">
        <v>18</v>
      </c>
      <c r="E15" s="1">
        <v>45664</v>
      </c>
      <c r="F15" s="3">
        <v>3001</v>
      </c>
      <c r="G15" s="3">
        <v>45</v>
      </c>
      <c r="H15">
        <v>4.51</v>
      </c>
      <c r="I15" s="2">
        <v>23457.9</v>
      </c>
      <c r="J15" s="2">
        <v>31806.17</v>
      </c>
      <c r="K15">
        <v>79.3</v>
      </c>
      <c r="L15" t="s">
        <v>29</v>
      </c>
      <c r="M15">
        <f>MONTH(Manufacturing[[#This Row],[Production Date]])</f>
        <v>1</v>
      </c>
      <c r="N15">
        <f>YEAR(Manufacturing[[#This Row],[Production Date]])</f>
        <v>2025</v>
      </c>
      <c r="O15" t="str">
        <f t="shared" si="0"/>
        <v>40-49</v>
      </c>
    </row>
    <row r="16" spans="1:15">
      <c r="A16" t="s">
        <v>45</v>
      </c>
      <c r="B16" t="s">
        <v>26</v>
      </c>
      <c r="C16" t="s">
        <v>22</v>
      </c>
      <c r="D16" t="s">
        <v>27</v>
      </c>
      <c r="E16" s="1">
        <v>45644</v>
      </c>
      <c r="F16" s="3">
        <v>1804</v>
      </c>
      <c r="G16" s="3">
        <v>4</v>
      </c>
      <c r="H16">
        <v>7.96</v>
      </c>
      <c r="I16" s="2">
        <v>39208.32</v>
      </c>
      <c r="J16" s="2">
        <v>45645.93</v>
      </c>
      <c r="K16">
        <v>82.79</v>
      </c>
      <c r="L16" t="s">
        <v>37</v>
      </c>
      <c r="M16">
        <f>MONTH(Manufacturing[[#This Row],[Production Date]])</f>
        <v>12</v>
      </c>
      <c r="N16">
        <f>YEAR(Manufacturing[[#This Row],[Production Date]])</f>
        <v>2024</v>
      </c>
      <c r="O16" t="str">
        <f t="shared" si="0"/>
        <v>0-9</v>
      </c>
    </row>
    <row r="17" spans="1:15">
      <c r="A17" t="s">
        <v>46</v>
      </c>
      <c r="B17" t="s">
        <v>31</v>
      </c>
      <c r="C17" t="s">
        <v>17</v>
      </c>
      <c r="D17" t="s">
        <v>27</v>
      </c>
      <c r="E17" s="1">
        <v>45889</v>
      </c>
      <c r="F17" s="3">
        <v>1067</v>
      </c>
      <c r="G17" s="3">
        <v>39</v>
      </c>
      <c r="H17">
        <v>5.98</v>
      </c>
      <c r="I17" s="2">
        <v>43927.75</v>
      </c>
      <c r="J17" s="2">
        <v>52837.95</v>
      </c>
      <c r="K17">
        <v>79.31</v>
      </c>
      <c r="L17" t="s">
        <v>29</v>
      </c>
      <c r="M17">
        <f>MONTH(Manufacturing[[#This Row],[Production Date]])</f>
        <v>8</v>
      </c>
      <c r="N17">
        <f>YEAR(Manufacturing[[#This Row],[Production Date]])</f>
        <v>2025</v>
      </c>
      <c r="O17" t="str">
        <f t="shared" si="0"/>
        <v>30-39</v>
      </c>
    </row>
    <row r="18" spans="1:15">
      <c r="A18" t="s">
        <v>47</v>
      </c>
      <c r="B18" t="s">
        <v>31</v>
      </c>
      <c r="C18" t="s">
        <v>32</v>
      </c>
      <c r="D18" t="s">
        <v>27</v>
      </c>
      <c r="E18" s="1">
        <v>45781</v>
      </c>
      <c r="F18" s="3">
        <v>2407</v>
      </c>
      <c r="G18" s="3">
        <v>7</v>
      </c>
      <c r="H18">
        <v>9.3000000000000007</v>
      </c>
      <c r="I18" s="2">
        <v>20438.689999999999</v>
      </c>
      <c r="J18" s="2">
        <v>25085.61</v>
      </c>
      <c r="K18">
        <v>74.069999999999993</v>
      </c>
      <c r="L18" t="s">
        <v>19</v>
      </c>
      <c r="M18">
        <f>MONTH(Manufacturing[[#This Row],[Production Date]])</f>
        <v>5</v>
      </c>
      <c r="N18">
        <f>YEAR(Manufacturing[[#This Row],[Production Date]])</f>
        <v>2025</v>
      </c>
      <c r="O18" t="str">
        <f t="shared" si="0"/>
        <v>0-9</v>
      </c>
    </row>
    <row r="19" spans="1:15">
      <c r="A19" t="s">
        <v>48</v>
      </c>
      <c r="B19" t="s">
        <v>21</v>
      </c>
      <c r="C19" t="s">
        <v>17</v>
      </c>
      <c r="D19" t="s">
        <v>27</v>
      </c>
      <c r="E19" s="1">
        <v>45759</v>
      </c>
      <c r="F19" s="3">
        <v>3689</v>
      </c>
      <c r="G19" s="3">
        <v>15</v>
      </c>
      <c r="H19">
        <v>6.36</v>
      </c>
      <c r="I19" s="2">
        <v>21608.93</v>
      </c>
      <c r="J19" s="2">
        <v>28940.15</v>
      </c>
      <c r="K19">
        <v>70.27</v>
      </c>
      <c r="L19" t="s">
        <v>33</v>
      </c>
      <c r="M19">
        <f>MONTH(Manufacturing[[#This Row],[Production Date]])</f>
        <v>4</v>
      </c>
      <c r="N19">
        <f>YEAR(Manufacturing[[#This Row],[Production Date]])</f>
        <v>2025</v>
      </c>
      <c r="O19" t="str">
        <f t="shared" si="0"/>
        <v>10-19</v>
      </c>
    </row>
    <row r="20" spans="1:15">
      <c r="A20" t="s">
        <v>49</v>
      </c>
      <c r="B20" t="s">
        <v>26</v>
      </c>
      <c r="C20" t="s">
        <v>32</v>
      </c>
      <c r="D20" t="s">
        <v>27</v>
      </c>
      <c r="E20" s="1">
        <v>45637</v>
      </c>
      <c r="F20" s="3">
        <v>4157</v>
      </c>
      <c r="G20" s="3">
        <v>34</v>
      </c>
      <c r="H20">
        <v>3.16</v>
      </c>
      <c r="I20" s="2">
        <v>28228.79</v>
      </c>
      <c r="J20" s="2">
        <v>37406.519999999997</v>
      </c>
      <c r="K20">
        <v>81.66</v>
      </c>
      <c r="L20" t="s">
        <v>29</v>
      </c>
      <c r="M20">
        <f>MONTH(Manufacturing[[#This Row],[Production Date]])</f>
        <v>12</v>
      </c>
      <c r="N20">
        <f>YEAR(Manufacturing[[#This Row],[Production Date]])</f>
        <v>2024</v>
      </c>
      <c r="O20" t="str">
        <f t="shared" si="0"/>
        <v>30-39</v>
      </c>
    </row>
    <row r="21" spans="1:15">
      <c r="A21" t="s">
        <v>50</v>
      </c>
      <c r="B21" t="s">
        <v>16</v>
      </c>
      <c r="C21" t="s">
        <v>17</v>
      </c>
      <c r="D21" t="s">
        <v>18</v>
      </c>
      <c r="E21" s="1">
        <v>45593</v>
      </c>
      <c r="F21" s="3">
        <v>4307</v>
      </c>
      <c r="G21" s="3">
        <v>5</v>
      </c>
      <c r="H21">
        <v>6.8</v>
      </c>
      <c r="I21" s="2">
        <v>13621.44</v>
      </c>
      <c r="J21" s="2">
        <v>17297.91</v>
      </c>
      <c r="K21">
        <v>73.63</v>
      </c>
      <c r="L21" t="s">
        <v>37</v>
      </c>
      <c r="M21">
        <f>MONTH(Manufacturing[[#This Row],[Production Date]])</f>
        <v>10</v>
      </c>
      <c r="N21">
        <f>YEAR(Manufacturing[[#This Row],[Production Date]])</f>
        <v>2024</v>
      </c>
      <c r="O21" t="str">
        <f t="shared" si="0"/>
        <v>0-9</v>
      </c>
    </row>
    <row r="22" spans="1:15">
      <c r="A22" t="s">
        <v>51</v>
      </c>
      <c r="B22" t="s">
        <v>21</v>
      </c>
      <c r="C22" t="s">
        <v>32</v>
      </c>
      <c r="D22" t="s">
        <v>23</v>
      </c>
      <c r="E22" s="1">
        <v>45666</v>
      </c>
      <c r="F22" s="3">
        <v>2179</v>
      </c>
      <c r="G22" s="3">
        <v>50</v>
      </c>
      <c r="H22">
        <v>3.63</v>
      </c>
      <c r="I22" s="2">
        <v>45196.83</v>
      </c>
      <c r="J22" s="2">
        <v>56650.400000000001</v>
      </c>
      <c r="K22">
        <v>95.51</v>
      </c>
      <c r="L22" t="s">
        <v>19</v>
      </c>
      <c r="M22">
        <f>MONTH(Manufacturing[[#This Row],[Production Date]])</f>
        <v>1</v>
      </c>
      <c r="N22">
        <f>YEAR(Manufacturing[[#This Row],[Production Date]])</f>
        <v>2025</v>
      </c>
      <c r="O22" t="str">
        <f t="shared" si="0"/>
        <v>50+</v>
      </c>
    </row>
    <row r="23" spans="1:15">
      <c r="A23" t="s">
        <v>52</v>
      </c>
      <c r="B23" t="s">
        <v>21</v>
      </c>
      <c r="C23" t="s">
        <v>32</v>
      </c>
      <c r="D23" t="s">
        <v>18</v>
      </c>
      <c r="E23" s="1">
        <v>45783</v>
      </c>
      <c r="F23" s="3">
        <v>3639</v>
      </c>
      <c r="G23" s="3">
        <v>9</v>
      </c>
      <c r="H23">
        <v>2.2400000000000002</v>
      </c>
      <c r="I23" s="2">
        <v>7797.91</v>
      </c>
      <c r="J23" s="2">
        <v>10725.85</v>
      </c>
      <c r="K23">
        <v>79.38</v>
      </c>
      <c r="L23" t="s">
        <v>19</v>
      </c>
      <c r="M23">
        <f>MONTH(Manufacturing[[#This Row],[Production Date]])</f>
        <v>5</v>
      </c>
      <c r="N23">
        <f>YEAR(Manufacturing[[#This Row],[Production Date]])</f>
        <v>2025</v>
      </c>
      <c r="O23" t="str">
        <f t="shared" si="0"/>
        <v>0-9</v>
      </c>
    </row>
    <row r="24" spans="1:15">
      <c r="A24" t="s">
        <v>53</v>
      </c>
      <c r="B24" t="s">
        <v>16</v>
      </c>
      <c r="C24" t="s">
        <v>22</v>
      </c>
      <c r="D24" t="s">
        <v>23</v>
      </c>
      <c r="E24" s="1">
        <v>45782</v>
      </c>
      <c r="F24" s="3">
        <v>4663</v>
      </c>
      <c r="G24" s="3">
        <v>14</v>
      </c>
      <c r="H24">
        <v>3.47</v>
      </c>
      <c r="I24" s="2">
        <v>33259</v>
      </c>
      <c r="J24" s="2">
        <v>37199.14</v>
      </c>
      <c r="K24">
        <v>83.01</v>
      </c>
      <c r="L24" t="s">
        <v>29</v>
      </c>
      <c r="M24">
        <f>MONTH(Manufacturing[[#This Row],[Production Date]])</f>
        <v>5</v>
      </c>
      <c r="N24">
        <f>YEAR(Manufacturing[[#This Row],[Production Date]])</f>
        <v>2025</v>
      </c>
      <c r="O24" t="str">
        <f t="shared" si="0"/>
        <v>10-19</v>
      </c>
    </row>
    <row r="25" spans="1:15">
      <c r="A25" t="s">
        <v>54</v>
      </c>
      <c r="B25" t="s">
        <v>36</v>
      </c>
      <c r="C25" t="s">
        <v>17</v>
      </c>
      <c r="D25" t="s">
        <v>23</v>
      </c>
      <c r="E25" s="1">
        <v>45882</v>
      </c>
      <c r="F25" s="3">
        <v>1663</v>
      </c>
      <c r="G25" s="3">
        <v>5</v>
      </c>
      <c r="H25">
        <v>7.79</v>
      </c>
      <c r="I25" s="2">
        <v>6438.46</v>
      </c>
      <c r="J25" s="2">
        <v>9187.1200000000008</v>
      </c>
      <c r="K25">
        <v>80.47</v>
      </c>
      <c r="L25" t="s">
        <v>33</v>
      </c>
      <c r="M25">
        <f>MONTH(Manufacturing[[#This Row],[Production Date]])</f>
        <v>8</v>
      </c>
      <c r="N25">
        <f>YEAR(Manufacturing[[#This Row],[Production Date]])</f>
        <v>2025</v>
      </c>
      <c r="O25" t="str">
        <f t="shared" si="0"/>
        <v>0-9</v>
      </c>
    </row>
    <row r="26" spans="1:15">
      <c r="A26" t="s">
        <v>55</v>
      </c>
      <c r="B26" t="s">
        <v>36</v>
      </c>
      <c r="C26" t="s">
        <v>17</v>
      </c>
      <c r="D26" t="s">
        <v>18</v>
      </c>
      <c r="E26" s="1">
        <v>45794</v>
      </c>
      <c r="F26" s="3">
        <v>4231</v>
      </c>
      <c r="G26" s="3">
        <v>39</v>
      </c>
      <c r="H26">
        <v>3.4</v>
      </c>
      <c r="I26" s="2">
        <v>36860.33</v>
      </c>
      <c r="J26" s="2">
        <v>51845.55</v>
      </c>
      <c r="K26">
        <v>91.77</v>
      </c>
      <c r="L26" t="s">
        <v>24</v>
      </c>
      <c r="M26">
        <f>MONTH(Manufacturing[[#This Row],[Production Date]])</f>
        <v>5</v>
      </c>
      <c r="N26">
        <f>YEAR(Manufacturing[[#This Row],[Production Date]])</f>
        <v>2025</v>
      </c>
      <c r="O26" t="str">
        <f t="shared" si="0"/>
        <v>30-39</v>
      </c>
    </row>
    <row r="27" spans="1:15">
      <c r="A27" t="s">
        <v>56</v>
      </c>
      <c r="B27" t="s">
        <v>31</v>
      </c>
      <c r="C27" t="s">
        <v>32</v>
      </c>
      <c r="D27" t="s">
        <v>23</v>
      </c>
      <c r="E27" s="1">
        <v>45665</v>
      </c>
      <c r="F27" s="3">
        <v>1910</v>
      </c>
      <c r="G27" s="3">
        <v>49</v>
      </c>
      <c r="H27">
        <v>8.7200000000000006</v>
      </c>
      <c r="I27" s="2">
        <v>23684.58</v>
      </c>
      <c r="J27" s="2">
        <v>26831.919999999998</v>
      </c>
      <c r="K27">
        <v>99.41</v>
      </c>
      <c r="L27" t="s">
        <v>24</v>
      </c>
      <c r="M27">
        <f>MONTH(Manufacturing[[#This Row],[Production Date]])</f>
        <v>1</v>
      </c>
      <c r="N27">
        <f>YEAR(Manufacturing[[#This Row],[Production Date]])</f>
        <v>2025</v>
      </c>
      <c r="O27" t="str">
        <f t="shared" si="0"/>
        <v>40-49</v>
      </c>
    </row>
    <row r="28" spans="1:15">
      <c r="A28" t="s">
        <v>57</v>
      </c>
      <c r="B28" t="s">
        <v>16</v>
      </c>
      <c r="C28" t="s">
        <v>17</v>
      </c>
      <c r="D28" t="s">
        <v>18</v>
      </c>
      <c r="E28" s="1">
        <v>45615</v>
      </c>
      <c r="F28" s="3">
        <v>2139</v>
      </c>
      <c r="G28" s="3">
        <v>25</v>
      </c>
      <c r="H28">
        <v>7.86</v>
      </c>
      <c r="I28" s="2">
        <v>26406.01</v>
      </c>
      <c r="J28" s="2">
        <v>32364.38</v>
      </c>
      <c r="K28">
        <v>77.900000000000006</v>
      </c>
      <c r="L28" t="s">
        <v>29</v>
      </c>
      <c r="M28">
        <f>MONTH(Manufacturing[[#This Row],[Production Date]])</f>
        <v>11</v>
      </c>
      <c r="N28">
        <f>YEAR(Manufacturing[[#This Row],[Production Date]])</f>
        <v>2024</v>
      </c>
      <c r="O28" t="str">
        <f t="shared" si="0"/>
        <v>20-29</v>
      </c>
    </row>
    <row r="29" spans="1:15">
      <c r="A29" t="s">
        <v>58</v>
      </c>
      <c r="B29" t="s">
        <v>36</v>
      </c>
      <c r="C29" t="s">
        <v>32</v>
      </c>
      <c r="D29" t="s">
        <v>27</v>
      </c>
      <c r="E29" s="1">
        <v>45623</v>
      </c>
      <c r="F29" s="3">
        <v>3366</v>
      </c>
      <c r="G29" s="3">
        <v>16</v>
      </c>
      <c r="H29">
        <v>5.84</v>
      </c>
      <c r="I29" s="2">
        <v>26839.040000000001</v>
      </c>
      <c r="J29" s="2">
        <v>35609.629999999997</v>
      </c>
      <c r="K29">
        <v>87.78</v>
      </c>
      <c r="L29" t="s">
        <v>37</v>
      </c>
      <c r="M29">
        <f>MONTH(Manufacturing[[#This Row],[Production Date]])</f>
        <v>11</v>
      </c>
      <c r="N29">
        <f>YEAR(Manufacturing[[#This Row],[Production Date]])</f>
        <v>2024</v>
      </c>
      <c r="O29" t="str">
        <f t="shared" si="0"/>
        <v>10-19</v>
      </c>
    </row>
    <row r="30" spans="1:15">
      <c r="A30" t="s">
        <v>59</v>
      </c>
      <c r="B30" t="s">
        <v>26</v>
      </c>
      <c r="C30" t="s">
        <v>22</v>
      </c>
      <c r="D30" t="s">
        <v>23</v>
      </c>
      <c r="E30" s="1">
        <v>45667</v>
      </c>
      <c r="F30" s="3">
        <v>4213</v>
      </c>
      <c r="G30" s="3">
        <v>29</v>
      </c>
      <c r="H30">
        <v>5.62</v>
      </c>
      <c r="I30" s="2">
        <v>22695.35</v>
      </c>
      <c r="J30" s="2">
        <v>30610.99</v>
      </c>
      <c r="K30">
        <v>88.45</v>
      </c>
      <c r="L30" t="s">
        <v>29</v>
      </c>
      <c r="M30">
        <f>MONTH(Manufacturing[[#This Row],[Production Date]])</f>
        <v>1</v>
      </c>
      <c r="N30">
        <f>YEAR(Manufacturing[[#This Row],[Production Date]])</f>
        <v>2025</v>
      </c>
      <c r="O30" t="str">
        <f t="shared" si="0"/>
        <v>20-29</v>
      </c>
    </row>
    <row r="31" spans="1:15">
      <c r="A31" t="s">
        <v>60</v>
      </c>
      <c r="B31" t="s">
        <v>31</v>
      </c>
      <c r="C31" t="s">
        <v>32</v>
      </c>
      <c r="D31" t="s">
        <v>23</v>
      </c>
      <c r="E31" s="1">
        <v>45905</v>
      </c>
      <c r="F31" s="3">
        <v>2425</v>
      </c>
      <c r="G31" s="3">
        <v>42</v>
      </c>
      <c r="H31">
        <v>2.5499999999999998</v>
      </c>
      <c r="I31" s="2">
        <v>27490.29</v>
      </c>
      <c r="J31" s="2">
        <v>41201.74</v>
      </c>
      <c r="K31">
        <v>71.78</v>
      </c>
      <c r="L31" t="s">
        <v>19</v>
      </c>
      <c r="M31">
        <f>MONTH(Manufacturing[[#This Row],[Production Date]])</f>
        <v>9</v>
      </c>
      <c r="N31">
        <f>YEAR(Manufacturing[[#This Row],[Production Date]])</f>
        <v>2025</v>
      </c>
      <c r="O31" t="str">
        <f t="shared" si="0"/>
        <v>40-49</v>
      </c>
    </row>
    <row r="32" spans="1:15">
      <c r="A32" t="s">
        <v>61</v>
      </c>
      <c r="B32" t="s">
        <v>16</v>
      </c>
      <c r="C32" t="s">
        <v>17</v>
      </c>
      <c r="D32" t="s">
        <v>18</v>
      </c>
      <c r="E32" s="1">
        <v>45886</v>
      </c>
      <c r="F32" s="3">
        <v>4468</v>
      </c>
      <c r="G32" s="3">
        <v>5</v>
      </c>
      <c r="H32">
        <v>2.6</v>
      </c>
      <c r="I32" s="2">
        <v>20682.099999999999</v>
      </c>
      <c r="J32" s="2">
        <v>25637.53</v>
      </c>
      <c r="K32">
        <v>70.98</v>
      </c>
      <c r="L32" t="s">
        <v>19</v>
      </c>
      <c r="M32">
        <f>MONTH(Manufacturing[[#This Row],[Production Date]])</f>
        <v>8</v>
      </c>
      <c r="N32">
        <f>YEAR(Manufacturing[[#This Row],[Production Date]])</f>
        <v>2025</v>
      </c>
      <c r="O32" t="str">
        <f t="shared" si="0"/>
        <v>0-9</v>
      </c>
    </row>
    <row r="33" spans="1:15">
      <c r="A33" t="s">
        <v>62</v>
      </c>
      <c r="B33" t="s">
        <v>16</v>
      </c>
      <c r="C33" t="s">
        <v>22</v>
      </c>
      <c r="D33" t="s">
        <v>23</v>
      </c>
      <c r="E33" s="1">
        <v>45711</v>
      </c>
      <c r="F33" s="3">
        <v>941</v>
      </c>
      <c r="G33" s="3">
        <v>11</v>
      </c>
      <c r="H33">
        <v>8.56</v>
      </c>
      <c r="I33" s="2">
        <v>23624.9</v>
      </c>
      <c r="J33" s="2">
        <v>35108.129999999997</v>
      </c>
      <c r="K33">
        <v>87.62</v>
      </c>
      <c r="L33" t="s">
        <v>33</v>
      </c>
      <c r="M33">
        <f>MONTH(Manufacturing[[#This Row],[Production Date]])</f>
        <v>2</v>
      </c>
      <c r="N33">
        <f>YEAR(Manufacturing[[#This Row],[Production Date]])</f>
        <v>2025</v>
      </c>
      <c r="O33" t="str">
        <f t="shared" si="0"/>
        <v>10-19</v>
      </c>
    </row>
    <row r="34" spans="1:15">
      <c r="A34" t="s">
        <v>63</v>
      </c>
      <c r="B34" t="s">
        <v>31</v>
      </c>
      <c r="C34" t="s">
        <v>32</v>
      </c>
      <c r="D34" t="s">
        <v>18</v>
      </c>
      <c r="E34" s="1">
        <v>45873</v>
      </c>
      <c r="F34" s="3">
        <v>432</v>
      </c>
      <c r="G34" s="3">
        <v>26</v>
      </c>
      <c r="H34">
        <v>5.85</v>
      </c>
      <c r="I34" s="2">
        <v>33834.43</v>
      </c>
      <c r="J34" s="2">
        <v>48805.72</v>
      </c>
      <c r="K34">
        <v>74.760000000000005</v>
      </c>
      <c r="L34" t="s">
        <v>33</v>
      </c>
      <c r="M34">
        <f>MONTH(Manufacturing[[#This Row],[Production Date]])</f>
        <v>8</v>
      </c>
      <c r="N34">
        <f>YEAR(Manufacturing[[#This Row],[Production Date]])</f>
        <v>2025</v>
      </c>
      <c r="O34" t="str">
        <f t="shared" si="0"/>
        <v>20-29</v>
      </c>
    </row>
    <row r="35" spans="1:15">
      <c r="A35" t="s">
        <v>64</v>
      </c>
      <c r="B35" t="s">
        <v>21</v>
      </c>
      <c r="C35" t="s">
        <v>32</v>
      </c>
      <c r="D35" t="s">
        <v>27</v>
      </c>
      <c r="E35" s="1">
        <v>45806</v>
      </c>
      <c r="F35" s="3">
        <v>3563</v>
      </c>
      <c r="G35" s="3">
        <v>11</v>
      </c>
      <c r="H35">
        <v>5.53</v>
      </c>
      <c r="I35" s="2">
        <v>26718.959999999999</v>
      </c>
      <c r="J35" s="2">
        <v>34581.85</v>
      </c>
      <c r="K35">
        <v>86.86</v>
      </c>
      <c r="L35" t="s">
        <v>33</v>
      </c>
      <c r="M35">
        <f>MONTH(Manufacturing[[#This Row],[Production Date]])</f>
        <v>5</v>
      </c>
      <c r="N35">
        <f>YEAR(Manufacturing[[#This Row],[Production Date]])</f>
        <v>2025</v>
      </c>
      <c r="O35" t="str">
        <f t="shared" si="0"/>
        <v>10-19</v>
      </c>
    </row>
    <row r="36" spans="1:15">
      <c r="A36" t="s">
        <v>65</v>
      </c>
      <c r="B36" t="s">
        <v>36</v>
      </c>
      <c r="C36" t="s">
        <v>17</v>
      </c>
      <c r="D36" t="s">
        <v>18</v>
      </c>
      <c r="E36" s="1">
        <v>45791</v>
      </c>
      <c r="F36" s="3">
        <v>3465</v>
      </c>
      <c r="G36" s="3">
        <v>30</v>
      </c>
      <c r="H36">
        <v>6.71</v>
      </c>
      <c r="I36" s="2">
        <v>6039.37</v>
      </c>
      <c r="J36" s="2">
        <v>7313.94</v>
      </c>
      <c r="K36">
        <v>80.52</v>
      </c>
      <c r="L36" t="s">
        <v>19</v>
      </c>
      <c r="M36">
        <f>MONTH(Manufacturing[[#This Row],[Production Date]])</f>
        <v>5</v>
      </c>
      <c r="N36">
        <f>YEAR(Manufacturing[[#This Row],[Production Date]])</f>
        <v>2025</v>
      </c>
      <c r="O36" t="str">
        <f t="shared" si="0"/>
        <v>30-39</v>
      </c>
    </row>
    <row r="37" spans="1:15">
      <c r="A37" t="s">
        <v>66</v>
      </c>
      <c r="B37" t="s">
        <v>21</v>
      </c>
      <c r="C37" t="s">
        <v>17</v>
      </c>
      <c r="D37" t="s">
        <v>18</v>
      </c>
      <c r="E37" s="1">
        <v>45721</v>
      </c>
      <c r="F37" s="3">
        <v>4310</v>
      </c>
      <c r="G37" s="3">
        <v>4</v>
      </c>
      <c r="H37">
        <v>1.98</v>
      </c>
      <c r="I37" s="2">
        <v>49674.03</v>
      </c>
      <c r="J37" s="2">
        <v>70971.850000000006</v>
      </c>
      <c r="K37">
        <v>71.58</v>
      </c>
      <c r="L37" t="s">
        <v>37</v>
      </c>
      <c r="M37">
        <f>MONTH(Manufacturing[[#This Row],[Production Date]])</f>
        <v>3</v>
      </c>
      <c r="N37">
        <f>YEAR(Manufacturing[[#This Row],[Production Date]])</f>
        <v>2025</v>
      </c>
      <c r="O37" t="str">
        <f t="shared" si="0"/>
        <v>0-9</v>
      </c>
    </row>
    <row r="38" spans="1:15">
      <c r="A38" t="s">
        <v>67</v>
      </c>
      <c r="B38" t="s">
        <v>26</v>
      </c>
      <c r="C38" t="s">
        <v>22</v>
      </c>
      <c r="D38" t="s">
        <v>27</v>
      </c>
      <c r="E38" s="1">
        <v>45913</v>
      </c>
      <c r="F38" s="3">
        <v>474</v>
      </c>
      <c r="G38" s="3">
        <v>30</v>
      </c>
      <c r="H38">
        <v>6.84</v>
      </c>
      <c r="I38" s="2">
        <v>39931.599999999999</v>
      </c>
      <c r="J38" s="2">
        <v>49737.440000000002</v>
      </c>
      <c r="K38">
        <v>99.68</v>
      </c>
      <c r="L38" t="s">
        <v>33</v>
      </c>
      <c r="M38">
        <f>MONTH(Manufacturing[[#This Row],[Production Date]])</f>
        <v>9</v>
      </c>
      <c r="N38">
        <f>YEAR(Manufacturing[[#This Row],[Production Date]])</f>
        <v>2025</v>
      </c>
      <c r="O38" t="str">
        <f t="shared" si="0"/>
        <v>30-39</v>
      </c>
    </row>
    <row r="39" spans="1:15">
      <c r="A39" t="s">
        <v>68</v>
      </c>
      <c r="B39" t="s">
        <v>31</v>
      </c>
      <c r="C39" t="s">
        <v>32</v>
      </c>
      <c r="D39" t="s">
        <v>18</v>
      </c>
      <c r="E39" s="1">
        <v>45674</v>
      </c>
      <c r="F39" s="3">
        <v>2803</v>
      </c>
      <c r="G39" s="3">
        <v>11</v>
      </c>
      <c r="H39">
        <v>7.99</v>
      </c>
      <c r="I39" s="2">
        <v>6278.1</v>
      </c>
      <c r="J39" s="2">
        <v>9313.76</v>
      </c>
      <c r="K39">
        <v>95.17</v>
      </c>
      <c r="L39" t="s">
        <v>37</v>
      </c>
      <c r="M39">
        <f>MONTH(Manufacturing[[#This Row],[Production Date]])</f>
        <v>1</v>
      </c>
      <c r="N39">
        <f>YEAR(Manufacturing[[#This Row],[Production Date]])</f>
        <v>2025</v>
      </c>
      <c r="O39" t="str">
        <f t="shared" si="0"/>
        <v>10-19</v>
      </c>
    </row>
    <row r="40" spans="1:15">
      <c r="A40" t="s">
        <v>69</v>
      </c>
      <c r="B40" t="s">
        <v>21</v>
      </c>
      <c r="C40" t="s">
        <v>22</v>
      </c>
      <c r="D40" t="s">
        <v>27</v>
      </c>
      <c r="E40" s="1">
        <v>45741</v>
      </c>
      <c r="F40" s="3">
        <v>171</v>
      </c>
      <c r="G40" s="3">
        <v>15</v>
      </c>
      <c r="H40">
        <v>9.66</v>
      </c>
      <c r="I40" s="2">
        <v>1176.3399999999999</v>
      </c>
      <c r="J40" s="2">
        <v>1324.36</v>
      </c>
      <c r="K40">
        <v>73.94</v>
      </c>
      <c r="L40" t="s">
        <v>19</v>
      </c>
      <c r="M40">
        <f>MONTH(Manufacturing[[#This Row],[Production Date]])</f>
        <v>3</v>
      </c>
      <c r="N40">
        <f>YEAR(Manufacturing[[#This Row],[Production Date]])</f>
        <v>2025</v>
      </c>
      <c r="O40" t="str">
        <f t="shared" si="0"/>
        <v>10-19</v>
      </c>
    </row>
    <row r="41" spans="1:15">
      <c r="A41" t="s">
        <v>70</v>
      </c>
      <c r="B41" t="s">
        <v>26</v>
      </c>
      <c r="C41" t="s">
        <v>32</v>
      </c>
      <c r="D41" t="s">
        <v>18</v>
      </c>
      <c r="E41" s="1">
        <v>45632</v>
      </c>
      <c r="F41" s="3">
        <v>2586</v>
      </c>
      <c r="G41" s="3">
        <v>18</v>
      </c>
      <c r="H41">
        <v>5.67</v>
      </c>
      <c r="I41" s="2">
        <v>17788.84</v>
      </c>
      <c r="J41" s="2">
        <v>22424.43</v>
      </c>
      <c r="K41">
        <v>92.28</v>
      </c>
      <c r="L41" t="s">
        <v>37</v>
      </c>
      <c r="M41">
        <f>MONTH(Manufacturing[[#This Row],[Production Date]])</f>
        <v>12</v>
      </c>
      <c r="N41">
        <f>YEAR(Manufacturing[[#This Row],[Production Date]])</f>
        <v>2024</v>
      </c>
      <c r="O41" t="str">
        <f t="shared" si="0"/>
        <v>10-19</v>
      </c>
    </row>
    <row r="42" spans="1:15">
      <c r="A42" t="s">
        <v>71</v>
      </c>
      <c r="B42" t="s">
        <v>26</v>
      </c>
      <c r="C42" t="s">
        <v>17</v>
      </c>
      <c r="D42" t="s">
        <v>23</v>
      </c>
      <c r="E42" s="1">
        <v>45916</v>
      </c>
      <c r="F42" s="3">
        <v>3202</v>
      </c>
      <c r="G42" s="3">
        <v>40</v>
      </c>
      <c r="H42">
        <v>2.04</v>
      </c>
      <c r="I42" s="2">
        <v>38046.949999999997</v>
      </c>
      <c r="J42" s="2">
        <v>49366.46</v>
      </c>
      <c r="K42">
        <v>92.71</v>
      </c>
      <c r="L42" t="s">
        <v>29</v>
      </c>
      <c r="M42">
        <f>MONTH(Manufacturing[[#This Row],[Production Date]])</f>
        <v>9</v>
      </c>
      <c r="N42">
        <f>YEAR(Manufacturing[[#This Row],[Production Date]])</f>
        <v>2025</v>
      </c>
      <c r="O42" t="str">
        <f t="shared" si="0"/>
        <v>40-49</v>
      </c>
    </row>
    <row r="43" spans="1:15">
      <c r="A43" t="s">
        <v>72</v>
      </c>
      <c r="B43" t="s">
        <v>31</v>
      </c>
      <c r="C43" t="s">
        <v>32</v>
      </c>
      <c r="D43" t="s">
        <v>23</v>
      </c>
      <c r="E43" s="1">
        <v>45688</v>
      </c>
      <c r="F43" s="3">
        <v>3430</v>
      </c>
      <c r="G43" s="3">
        <v>32</v>
      </c>
      <c r="H43">
        <v>4.1100000000000003</v>
      </c>
      <c r="I43" s="2">
        <v>15956.78</v>
      </c>
      <c r="J43" s="2">
        <v>20055.04</v>
      </c>
      <c r="K43">
        <v>81.42</v>
      </c>
      <c r="L43" t="s">
        <v>33</v>
      </c>
      <c r="M43">
        <f>MONTH(Manufacturing[[#This Row],[Production Date]])</f>
        <v>1</v>
      </c>
      <c r="N43">
        <f>YEAR(Manufacturing[[#This Row],[Production Date]])</f>
        <v>2025</v>
      </c>
      <c r="O43" t="str">
        <f t="shared" si="0"/>
        <v>30-39</v>
      </c>
    </row>
    <row r="44" spans="1:15">
      <c r="A44" t="s">
        <v>73</v>
      </c>
      <c r="B44" t="s">
        <v>21</v>
      </c>
      <c r="C44" t="s">
        <v>17</v>
      </c>
      <c r="D44" t="s">
        <v>27</v>
      </c>
      <c r="E44" s="1">
        <v>45766</v>
      </c>
      <c r="F44" s="3">
        <v>2442</v>
      </c>
      <c r="G44" s="3">
        <v>22</v>
      </c>
      <c r="H44">
        <v>4.16</v>
      </c>
      <c r="I44" s="2">
        <v>36799.58</v>
      </c>
      <c r="J44" s="2">
        <v>47857.71</v>
      </c>
      <c r="K44">
        <v>84.66</v>
      </c>
      <c r="L44" t="s">
        <v>33</v>
      </c>
      <c r="M44">
        <f>MONTH(Manufacturing[[#This Row],[Production Date]])</f>
        <v>4</v>
      </c>
      <c r="N44">
        <f>YEAR(Manufacturing[[#This Row],[Production Date]])</f>
        <v>2025</v>
      </c>
      <c r="O44" t="str">
        <f t="shared" si="0"/>
        <v>20-29</v>
      </c>
    </row>
    <row r="45" spans="1:15">
      <c r="A45" t="s">
        <v>74</v>
      </c>
      <c r="B45" t="s">
        <v>26</v>
      </c>
      <c r="C45" t="s">
        <v>22</v>
      </c>
      <c r="D45" t="s">
        <v>27</v>
      </c>
      <c r="E45" s="1">
        <v>45914</v>
      </c>
      <c r="F45" s="3">
        <v>2393</v>
      </c>
      <c r="G45" s="3">
        <v>48</v>
      </c>
      <c r="H45">
        <v>3</v>
      </c>
      <c r="I45" s="2">
        <v>18350.87</v>
      </c>
      <c r="J45" s="2">
        <v>23861.200000000001</v>
      </c>
      <c r="K45">
        <v>92.06</v>
      </c>
      <c r="L45" t="s">
        <v>33</v>
      </c>
      <c r="M45">
        <f>MONTH(Manufacturing[[#This Row],[Production Date]])</f>
        <v>9</v>
      </c>
      <c r="N45">
        <f>YEAR(Manufacturing[[#This Row],[Production Date]])</f>
        <v>2025</v>
      </c>
      <c r="O45" t="str">
        <f t="shared" si="0"/>
        <v>40-49</v>
      </c>
    </row>
    <row r="46" spans="1:15">
      <c r="A46" t="s">
        <v>75</v>
      </c>
      <c r="B46" t="s">
        <v>21</v>
      </c>
      <c r="C46" t="s">
        <v>32</v>
      </c>
      <c r="D46" t="s">
        <v>18</v>
      </c>
      <c r="E46" s="1">
        <v>45906</v>
      </c>
      <c r="F46" s="3">
        <v>454</v>
      </c>
      <c r="G46" s="3">
        <v>38</v>
      </c>
      <c r="H46">
        <v>0.77</v>
      </c>
      <c r="I46" s="2">
        <v>1467.92</v>
      </c>
      <c r="J46" s="2">
        <v>1834.67</v>
      </c>
      <c r="K46">
        <v>92.76</v>
      </c>
      <c r="L46" t="s">
        <v>37</v>
      </c>
      <c r="M46">
        <f>MONTH(Manufacturing[[#This Row],[Production Date]])</f>
        <v>9</v>
      </c>
      <c r="N46">
        <f>YEAR(Manufacturing[[#This Row],[Production Date]])</f>
        <v>2025</v>
      </c>
      <c r="O46" t="str">
        <f t="shared" si="0"/>
        <v>30-39</v>
      </c>
    </row>
    <row r="47" spans="1:15">
      <c r="A47" t="s">
        <v>76</v>
      </c>
      <c r="B47" t="s">
        <v>36</v>
      </c>
      <c r="C47" t="s">
        <v>22</v>
      </c>
      <c r="D47" t="s">
        <v>18</v>
      </c>
      <c r="E47" s="1">
        <v>45755</v>
      </c>
      <c r="F47" s="3">
        <v>3376</v>
      </c>
      <c r="G47" s="3">
        <v>25</v>
      </c>
      <c r="H47">
        <v>9.0299999999999994</v>
      </c>
      <c r="I47" s="2">
        <v>31865.65</v>
      </c>
      <c r="J47" s="2">
        <v>36860.5</v>
      </c>
      <c r="K47">
        <v>75</v>
      </c>
      <c r="L47" t="s">
        <v>19</v>
      </c>
      <c r="M47">
        <f>MONTH(Manufacturing[[#This Row],[Production Date]])</f>
        <v>4</v>
      </c>
      <c r="N47">
        <f>YEAR(Manufacturing[[#This Row],[Production Date]])</f>
        <v>2025</v>
      </c>
      <c r="O47" t="str">
        <f t="shared" si="0"/>
        <v>20-29</v>
      </c>
    </row>
    <row r="48" spans="1:15">
      <c r="A48" t="s">
        <v>77</v>
      </c>
      <c r="B48" t="s">
        <v>26</v>
      </c>
      <c r="C48" t="s">
        <v>17</v>
      </c>
      <c r="D48" t="s">
        <v>27</v>
      </c>
      <c r="E48" s="1">
        <v>45601</v>
      </c>
      <c r="F48" s="3">
        <v>2048</v>
      </c>
      <c r="G48" s="3">
        <v>15</v>
      </c>
      <c r="H48">
        <v>1.02</v>
      </c>
      <c r="I48" s="2">
        <v>3857.74</v>
      </c>
      <c r="J48" s="2">
        <v>4837</v>
      </c>
      <c r="K48">
        <v>93.31</v>
      </c>
      <c r="L48" t="s">
        <v>24</v>
      </c>
      <c r="M48">
        <f>MONTH(Manufacturing[[#This Row],[Production Date]])</f>
        <v>11</v>
      </c>
      <c r="N48">
        <f>YEAR(Manufacturing[[#This Row],[Production Date]])</f>
        <v>2024</v>
      </c>
      <c r="O48" t="str">
        <f t="shared" si="0"/>
        <v>10-19</v>
      </c>
    </row>
    <row r="49" spans="1:15">
      <c r="A49" t="s">
        <v>78</v>
      </c>
      <c r="B49" t="s">
        <v>26</v>
      </c>
      <c r="C49" t="s">
        <v>22</v>
      </c>
      <c r="D49" t="s">
        <v>23</v>
      </c>
      <c r="E49" s="1">
        <v>45850</v>
      </c>
      <c r="F49" s="3">
        <v>2416</v>
      </c>
      <c r="G49" s="3">
        <v>12</v>
      </c>
      <c r="H49">
        <v>4.83</v>
      </c>
      <c r="I49" s="2">
        <v>43117.8</v>
      </c>
      <c r="J49" s="2">
        <v>56184.15</v>
      </c>
      <c r="K49">
        <v>95.61</v>
      </c>
      <c r="L49" t="s">
        <v>33</v>
      </c>
      <c r="M49">
        <f>MONTH(Manufacturing[[#This Row],[Production Date]])</f>
        <v>7</v>
      </c>
      <c r="N49">
        <f>YEAR(Manufacturing[[#This Row],[Production Date]])</f>
        <v>2025</v>
      </c>
      <c r="O49" t="str">
        <f t="shared" si="0"/>
        <v>10-19</v>
      </c>
    </row>
    <row r="50" spans="1:15">
      <c r="A50" t="s">
        <v>79</v>
      </c>
      <c r="B50" t="s">
        <v>26</v>
      </c>
      <c r="C50" t="s">
        <v>22</v>
      </c>
      <c r="D50" t="s">
        <v>18</v>
      </c>
      <c r="E50" s="1">
        <v>45756</v>
      </c>
      <c r="F50" s="3">
        <v>2335</v>
      </c>
      <c r="G50" s="3">
        <v>18</v>
      </c>
      <c r="H50">
        <v>0.67</v>
      </c>
      <c r="I50" s="2">
        <v>33312.129999999997</v>
      </c>
      <c r="J50" s="2">
        <v>42676.29</v>
      </c>
      <c r="K50">
        <v>89.43</v>
      </c>
      <c r="L50" t="s">
        <v>37</v>
      </c>
      <c r="M50">
        <f>MONTH(Manufacturing[[#This Row],[Production Date]])</f>
        <v>4</v>
      </c>
      <c r="N50">
        <f>YEAR(Manufacturing[[#This Row],[Production Date]])</f>
        <v>2025</v>
      </c>
      <c r="O50" t="str">
        <f t="shared" si="0"/>
        <v>10-19</v>
      </c>
    </row>
    <row r="51" spans="1:15">
      <c r="A51" t="s">
        <v>80</v>
      </c>
      <c r="B51" t="s">
        <v>21</v>
      </c>
      <c r="C51" t="s">
        <v>22</v>
      </c>
      <c r="D51" t="s">
        <v>23</v>
      </c>
      <c r="E51" s="1">
        <v>45826</v>
      </c>
      <c r="F51" s="3">
        <v>804</v>
      </c>
      <c r="G51" s="3">
        <v>3</v>
      </c>
      <c r="H51">
        <v>8.85</v>
      </c>
      <c r="I51" s="2">
        <v>21493.27</v>
      </c>
      <c r="J51" s="2">
        <v>28972.05</v>
      </c>
      <c r="K51">
        <v>79.430000000000007</v>
      </c>
      <c r="L51" t="s">
        <v>33</v>
      </c>
      <c r="M51">
        <f>MONTH(Manufacturing[[#This Row],[Production Date]])</f>
        <v>6</v>
      </c>
      <c r="N51">
        <f>YEAR(Manufacturing[[#This Row],[Production Date]])</f>
        <v>2025</v>
      </c>
      <c r="O51" t="str">
        <f t="shared" si="0"/>
        <v>0-9</v>
      </c>
    </row>
    <row r="52" spans="1:15">
      <c r="A52" t="s">
        <v>81</v>
      </c>
      <c r="B52" t="s">
        <v>31</v>
      </c>
      <c r="C52" t="s">
        <v>32</v>
      </c>
      <c r="D52" t="s">
        <v>18</v>
      </c>
      <c r="E52" s="1">
        <v>45725</v>
      </c>
      <c r="F52" s="3">
        <v>1250</v>
      </c>
      <c r="G52" s="3">
        <v>42</v>
      </c>
      <c r="H52">
        <v>3.13</v>
      </c>
      <c r="I52" s="2">
        <v>15360.57</v>
      </c>
      <c r="J52" s="2">
        <v>17142.45</v>
      </c>
      <c r="K52">
        <v>95.9</v>
      </c>
      <c r="L52" t="s">
        <v>29</v>
      </c>
      <c r="M52">
        <f>MONTH(Manufacturing[[#This Row],[Production Date]])</f>
        <v>3</v>
      </c>
      <c r="N52">
        <f>YEAR(Manufacturing[[#This Row],[Production Date]])</f>
        <v>2025</v>
      </c>
      <c r="O52" t="str">
        <f t="shared" si="0"/>
        <v>40-49</v>
      </c>
    </row>
    <row r="53" spans="1:15">
      <c r="A53" t="s">
        <v>82</v>
      </c>
      <c r="B53" t="s">
        <v>21</v>
      </c>
      <c r="C53" t="s">
        <v>22</v>
      </c>
      <c r="D53" t="s">
        <v>23</v>
      </c>
      <c r="E53" s="1">
        <v>45671</v>
      </c>
      <c r="F53" s="3">
        <v>3936</v>
      </c>
      <c r="G53" s="3">
        <v>32</v>
      </c>
      <c r="H53">
        <v>5.67</v>
      </c>
      <c r="I53" s="2">
        <v>40659.49</v>
      </c>
      <c r="J53" s="2">
        <v>58494.65</v>
      </c>
      <c r="K53">
        <v>76.709999999999994</v>
      </c>
      <c r="L53" t="s">
        <v>24</v>
      </c>
      <c r="M53">
        <f>MONTH(Manufacturing[[#This Row],[Production Date]])</f>
        <v>1</v>
      </c>
      <c r="N53">
        <f>YEAR(Manufacturing[[#This Row],[Production Date]])</f>
        <v>2025</v>
      </c>
      <c r="O53" t="str">
        <f t="shared" si="0"/>
        <v>30-39</v>
      </c>
    </row>
    <row r="54" spans="1:15">
      <c r="A54" t="s">
        <v>83</v>
      </c>
      <c r="B54" t="s">
        <v>16</v>
      </c>
      <c r="C54" t="s">
        <v>17</v>
      </c>
      <c r="D54" t="s">
        <v>23</v>
      </c>
      <c r="E54" s="1">
        <v>45711</v>
      </c>
      <c r="F54" s="3">
        <v>880</v>
      </c>
      <c r="G54" s="3">
        <v>33</v>
      </c>
      <c r="H54">
        <v>0.43</v>
      </c>
      <c r="I54" s="2">
        <v>40003.65</v>
      </c>
      <c r="J54" s="2">
        <v>54882.3</v>
      </c>
      <c r="K54">
        <v>99.38</v>
      </c>
      <c r="L54" t="s">
        <v>33</v>
      </c>
      <c r="M54">
        <f>MONTH(Manufacturing[[#This Row],[Production Date]])</f>
        <v>2</v>
      </c>
      <c r="N54">
        <f>YEAR(Manufacturing[[#This Row],[Production Date]])</f>
        <v>2025</v>
      </c>
      <c r="O54" t="str">
        <f t="shared" si="0"/>
        <v>30-39</v>
      </c>
    </row>
    <row r="55" spans="1:15">
      <c r="A55" t="s">
        <v>84</v>
      </c>
      <c r="B55" t="s">
        <v>21</v>
      </c>
      <c r="C55" t="s">
        <v>17</v>
      </c>
      <c r="D55" t="s">
        <v>27</v>
      </c>
      <c r="E55" s="1">
        <v>45729</v>
      </c>
      <c r="F55" s="3">
        <v>2232</v>
      </c>
      <c r="G55" s="3">
        <v>10</v>
      </c>
      <c r="H55">
        <v>9.52</v>
      </c>
      <c r="I55" s="2">
        <v>13330.14</v>
      </c>
      <c r="J55" s="2">
        <v>19718.560000000001</v>
      </c>
      <c r="K55">
        <v>83.86</v>
      </c>
      <c r="L55" t="s">
        <v>37</v>
      </c>
      <c r="M55">
        <f>MONTH(Manufacturing[[#This Row],[Production Date]])</f>
        <v>3</v>
      </c>
      <c r="N55">
        <f>YEAR(Manufacturing[[#This Row],[Production Date]])</f>
        <v>2025</v>
      </c>
      <c r="O55" t="str">
        <f t="shared" si="0"/>
        <v>10-19</v>
      </c>
    </row>
    <row r="56" spans="1:15">
      <c r="A56" t="s">
        <v>85</v>
      </c>
      <c r="B56" t="s">
        <v>36</v>
      </c>
      <c r="C56" t="s">
        <v>22</v>
      </c>
      <c r="D56" t="s">
        <v>18</v>
      </c>
      <c r="E56" s="1">
        <v>45907</v>
      </c>
      <c r="F56" s="3">
        <v>3374</v>
      </c>
      <c r="G56" s="3">
        <v>29</v>
      </c>
      <c r="H56">
        <v>8.9</v>
      </c>
      <c r="I56" s="2">
        <v>16216.98</v>
      </c>
      <c r="J56" s="2">
        <v>21254.560000000001</v>
      </c>
      <c r="K56">
        <v>84.74</v>
      </c>
      <c r="L56" t="s">
        <v>19</v>
      </c>
      <c r="M56">
        <f>MONTH(Manufacturing[[#This Row],[Production Date]])</f>
        <v>9</v>
      </c>
      <c r="N56">
        <f>YEAR(Manufacturing[[#This Row],[Production Date]])</f>
        <v>2025</v>
      </c>
      <c r="O56" t="str">
        <f t="shared" si="0"/>
        <v>20-29</v>
      </c>
    </row>
    <row r="57" spans="1:15">
      <c r="A57" t="s">
        <v>86</v>
      </c>
      <c r="B57" t="s">
        <v>36</v>
      </c>
      <c r="C57" t="s">
        <v>22</v>
      </c>
      <c r="D57" t="s">
        <v>18</v>
      </c>
      <c r="E57" s="1">
        <v>45849</v>
      </c>
      <c r="F57" s="3">
        <v>1509</v>
      </c>
      <c r="G57" s="3">
        <v>45</v>
      </c>
      <c r="H57">
        <v>7.7</v>
      </c>
      <c r="I57" s="2">
        <v>1765.08</v>
      </c>
      <c r="J57" s="2">
        <v>2357.02</v>
      </c>
      <c r="K57">
        <v>73.569999999999993</v>
      </c>
      <c r="L57" t="s">
        <v>24</v>
      </c>
      <c r="M57">
        <f>MONTH(Manufacturing[[#This Row],[Production Date]])</f>
        <v>7</v>
      </c>
      <c r="N57">
        <f>YEAR(Manufacturing[[#This Row],[Production Date]])</f>
        <v>2025</v>
      </c>
      <c r="O57" t="str">
        <f t="shared" si="0"/>
        <v>40-49</v>
      </c>
    </row>
    <row r="58" spans="1:15">
      <c r="A58" t="s">
        <v>87</v>
      </c>
      <c r="B58" t="s">
        <v>16</v>
      </c>
      <c r="C58" t="s">
        <v>22</v>
      </c>
      <c r="D58" t="s">
        <v>23</v>
      </c>
      <c r="E58" s="1">
        <v>45614</v>
      </c>
      <c r="F58" s="3">
        <v>4348</v>
      </c>
      <c r="G58" s="3">
        <v>26</v>
      </c>
      <c r="H58">
        <v>9.51</v>
      </c>
      <c r="I58" s="2">
        <v>32724.07</v>
      </c>
      <c r="J58" s="2">
        <v>41182.43</v>
      </c>
      <c r="K58">
        <v>78.540000000000006</v>
      </c>
      <c r="L58" t="s">
        <v>24</v>
      </c>
      <c r="M58">
        <f>MONTH(Manufacturing[[#This Row],[Production Date]])</f>
        <v>11</v>
      </c>
      <c r="N58">
        <f>YEAR(Manufacturing[[#This Row],[Production Date]])</f>
        <v>2024</v>
      </c>
      <c r="O58" t="str">
        <f t="shared" si="0"/>
        <v>20-29</v>
      </c>
    </row>
    <row r="59" spans="1:15">
      <c r="A59" t="s">
        <v>88</v>
      </c>
      <c r="B59" t="s">
        <v>36</v>
      </c>
      <c r="C59" t="s">
        <v>17</v>
      </c>
      <c r="D59" t="s">
        <v>23</v>
      </c>
      <c r="E59" s="1">
        <v>45612</v>
      </c>
      <c r="F59" s="3">
        <v>1138</v>
      </c>
      <c r="G59" s="3">
        <v>26</v>
      </c>
      <c r="H59">
        <v>7.14</v>
      </c>
      <c r="I59" s="2">
        <v>12753.3</v>
      </c>
      <c r="J59" s="2">
        <v>18230.16</v>
      </c>
      <c r="K59">
        <v>95.34</v>
      </c>
      <c r="L59" t="s">
        <v>24</v>
      </c>
      <c r="M59">
        <f>MONTH(Manufacturing[[#This Row],[Production Date]])</f>
        <v>11</v>
      </c>
      <c r="N59">
        <f>YEAR(Manufacturing[[#This Row],[Production Date]])</f>
        <v>2024</v>
      </c>
      <c r="O59" t="str">
        <f t="shared" si="0"/>
        <v>20-29</v>
      </c>
    </row>
    <row r="60" spans="1:15">
      <c r="A60" t="s">
        <v>89</v>
      </c>
      <c r="B60" t="s">
        <v>36</v>
      </c>
      <c r="C60" t="s">
        <v>22</v>
      </c>
      <c r="D60" t="s">
        <v>23</v>
      </c>
      <c r="E60" s="1">
        <v>45754</v>
      </c>
      <c r="F60" s="3">
        <v>4552</v>
      </c>
      <c r="G60" s="3">
        <v>17</v>
      </c>
      <c r="H60">
        <v>5.9</v>
      </c>
      <c r="I60" s="2">
        <v>27435.02</v>
      </c>
      <c r="J60" s="2">
        <v>36582.93</v>
      </c>
      <c r="K60">
        <v>88.8</v>
      </c>
      <c r="L60" t="s">
        <v>37</v>
      </c>
      <c r="M60">
        <f>MONTH(Manufacturing[[#This Row],[Production Date]])</f>
        <v>4</v>
      </c>
      <c r="N60">
        <f>YEAR(Manufacturing[[#This Row],[Production Date]])</f>
        <v>2025</v>
      </c>
      <c r="O60" t="str">
        <f t="shared" si="0"/>
        <v>10-19</v>
      </c>
    </row>
    <row r="61" spans="1:15">
      <c r="A61" t="s">
        <v>90</v>
      </c>
      <c r="B61" t="s">
        <v>21</v>
      </c>
      <c r="C61" t="s">
        <v>32</v>
      </c>
      <c r="D61" t="s">
        <v>23</v>
      </c>
      <c r="E61" s="1">
        <v>45920</v>
      </c>
      <c r="F61" s="3">
        <v>3660</v>
      </c>
      <c r="G61" s="3">
        <v>2</v>
      </c>
      <c r="H61">
        <v>9.8800000000000008</v>
      </c>
      <c r="I61" s="2">
        <v>33954.42</v>
      </c>
      <c r="J61" s="2">
        <v>46520.99</v>
      </c>
      <c r="K61">
        <v>75.67</v>
      </c>
      <c r="L61" t="s">
        <v>24</v>
      </c>
      <c r="M61">
        <f>MONTH(Manufacturing[[#This Row],[Production Date]])</f>
        <v>9</v>
      </c>
      <c r="N61">
        <f>YEAR(Manufacturing[[#This Row],[Production Date]])</f>
        <v>2025</v>
      </c>
      <c r="O61" t="str">
        <f t="shared" si="0"/>
        <v>0-9</v>
      </c>
    </row>
    <row r="62" spans="1:15">
      <c r="A62" t="s">
        <v>91</v>
      </c>
      <c r="B62" t="s">
        <v>26</v>
      </c>
      <c r="C62" t="s">
        <v>32</v>
      </c>
      <c r="D62" t="s">
        <v>27</v>
      </c>
      <c r="E62" s="1">
        <v>45752</v>
      </c>
      <c r="F62" s="3">
        <v>746</v>
      </c>
      <c r="G62" s="3">
        <v>7</v>
      </c>
      <c r="H62">
        <v>8.24</v>
      </c>
      <c r="I62" s="2">
        <v>35733.35</v>
      </c>
      <c r="J62" s="2">
        <v>53367.16</v>
      </c>
      <c r="K62">
        <v>86.7</v>
      </c>
      <c r="L62" t="s">
        <v>37</v>
      </c>
      <c r="M62">
        <f>MONTH(Manufacturing[[#This Row],[Production Date]])</f>
        <v>4</v>
      </c>
      <c r="N62">
        <f>YEAR(Manufacturing[[#This Row],[Production Date]])</f>
        <v>2025</v>
      </c>
      <c r="O62" t="str">
        <f t="shared" si="0"/>
        <v>0-9</v>
      </c>
    </row>
    <row r="63" spans="1:15">
      <c r="A63" t="s">
        <v>92</v>
      </c>
      <c r="B63" t="s">
        <v>16</v>
      </c>
      <c r="C63" t="s">
        <v>32</v>
      </c>
      <c r="D63" t="s">
        <v>27</v>
      </c>
      <c r="E63" s="1">
        <v>45876</v>
      </c>
      <c r="F63" s="3">
        <v>2400</v>
      </c>
      <c r="G63" s="3">
        <v>39</v>
      </c>
      <c r="H63">
        <v>4.13</v>
      </c>
      <c r="I63" s="2">
        <v>38302.11</v>
      </c>
      <c r="J63" s="2">
        <v>55537.05</v>
      </c>
      <c r="K63">
        <v>79.14</v>
      </c>
      <c r="L63" t="s">
        <v>33</v>
      </c>
      <c r="M63">
        <f>MONTH(Manufacturing[[#This Row],[Production Date]])</f>
        <v>8</v>
      </c>
      <c r="N63">
        <f>YEAR(Manufacturing[[#This Row],[Production Date]])</f>
        <v>2025</v>
      </c>
      <c r="O63" t="str">
        <f t="shared" si="0"/>
        <v>30-39</v>
      </c>
    </row>
    <row r="64" spans="1:15">
      <c r="A64" t="s">
        <v>93</v>
      </c>
      <c r="B64" t="s">
        <v>36</v>
      </c>
      <c r="C64" t="s">
        <v>32</v>
      </c>
      <c r="D64" t="s">
        <v>18</v>
      </c>
      <c r="E64" s="1">
        <v>45633</v>
      </c>
      <c r="F64" s="3">
        <v>2109</v>
      </c>
      <c r="G64" s="3">
        <v>3</v>
      </c>
      <c r="H64">
        <v>1.73</v>
      </c>
      <c r="I64" s="2">
        <v>16473.54</v>
      </c>
      <c r="J64" s="2">
        <v>22827.56</v>
      </c>
      <c r="K64">
        <v>77.180000000000007</v>
      </c>
      <c r="L64" t="s">
        <v>29</v>
      </c>
      <c r="M64">
        <f>MONTH(Manufacturing[[#This Row],[Production Date]])</f>
        <v>12</v>
      </c>
      <c r="N64">
        <f>YEAR(Manufacturing[[#This Row],[Production Date]])</f>
        <v>2024</v>
      </c>
      <c r="O64" t="str">
        <f t="shared" si="0"/>
        <v>0-9</v>
      </c>
    </row>
    <row r="65" spans="1:15">
      <c r="A65" t="s">
        <v>94</v>
      </c>
      <c r="B65" t="s">
        <v>26</v>
      </c>
      <c r="C65" t="s">
        <v>22</v>
      </c>
      <c r="D65" t="s">
        <v>23</v>
      </c>
      <c r="E65" s="1">
        <v>45779</v>
      </c>
      <c r="F65" s="3">
        <v>4467</v>
      </c>
      <c r="G65" s="3">
        <v>32</v>
      </c>
      <c r="H65">
        <v>0.31</v>
      </c>
      <c r="I65" s="2">
        <v>24959.17</v>
      </c>
      <c r="J65" s="2">
        <v>31348.13</v>
      </c>
      <c r="K65">
        <v>93.54</v>
      </c>
      <c r="L65" t="s">
        <v>24</v>
      </c>
      <c r="M65">
        <f>MONTH(Manufacturing[[#This Row],[Production Date]])</f>
        <v>5</v>
      </c>
      <c r="N65">
        <f>YEAR(Manufacturing[[#This Row],[Production Date]])</f>
        <v>2025</v>
      </c>
      <c r="O65" t="str">
        <f t="shared" si="0"/>
        <v>30-39</v>
      </c>
    </row>
    <row r="66" spans="1:15">
      <c r="A66" t="s">
        <v>95</v>
      </c>
      <c r="B66" t="s">
        <v>26</v>
      </c>
      <c r="C66" t="s">
        <v>22</v>
      </c>
      <c r="D66" t="s">
        <v>23</v>
      </c>
      <c r="E66" s="1">
        <v>45817</v>
      </c>
      <c r="F66" s="3">
        <v>2492</v>
      </c>
      <c r="G66" s="3">
        <v>0</v>
      </c>
      <c r="H66">
        <v>1.54</v>
      </c>
      <c r="I66" s="2">
        <v>41810.79</v>
      </c>
      <c r="J66" s="2">
        <v>50758.19</v>
      </c>
      <c r="K66">
        <v>70.61</v>
      </c>
      <c r="L66" t="s">
        <v>37</v>
      </c>
      <c r="M66">
        <f>MONTH(Manufacturing[[#This Row],[Production Date]])</f>
        <v>6</v>
      </c>
      <c r="N66">
        <f>YEAR(Manufacturing[[#This Row],[Production Date]])</f>
        <v>2025</v>
      </c>
      <c r="O66" t="str">
        <f t="shared" si="0"/>
        <v>0-9</v>
      </c>
    </row>
    <row r="67" spans="1:15">
      <c r="A67" t="s">
        <v>96</v>
      </c>
      <c r="B67" t="s">
        <v>21</v>
      </c>
      <c r="C67" t="s">
        <v>17</v>
      </c>
      <c r="D67" t="s">
        <v>27</v>
      </c>
      <c r="E67" s="1">
        <v>45800</v>
      </c>
      <c r="F67" s="3">
        <v>1784</v>
      </c>
      <c r="G67" s="3">
        <v>5</v>
      </c>
      <c r="H67">
        <v>0.11</v>
      </c>
      <c r="I67" s="2">
        <v>10889.78</v>
      </c>
      <c r="J67" s="2">
        <v>14031.45</v>
      </c>
      <c r="K67">
        <v>85.42</v>
      </c>
      <c r="L67" t="s">
        <v>33</v>
      </c>
      <c r="M67">
        <f>MONTH(Manufacturing[[#This Row],[Production Date]])</f>
        <v>5</v>
      </c>
      <c r="N67">
        <f>YEAR(Manufacturing[[#This Row],[Production Date]])</f>
        <v>2025</v>
      </c>
      <c r="O67" t="str">
        <f t="shared" ref="O67:O130" si="1">IF(G67&lt;=9,"0-9",IF(G67&lt;=19,"10-19",IF(G67&lt;=29,"20-29",IF(G67&lt;=39,"30-39",IF(G67&lt;=49,"40-49","50+")))))</f>
        <v>0-9</v>
      </c>
    </row>
    <row r="68" spans="1:15">
      <c r="A68" t="s">
        <v>97</v>
      </c>
      <c r="B68" t="s">
        <v>21</v>
      </c>
      <c r="C68" t="s">
        <v>22</v>
      </c>
      <c r="D68" t="s">
        <v>18</v>
      </c>
      <c r="E68" s="1">
        <v>45755</v>
      </c>
      <c r="F68" s="3">
        <v>1188</v>
      </c>
      <c r="G68" s="3">
        <v>44</v>
      </c>
      <c r="H68">
        <v>5.78</v>
      </c>
      <c r="I68" s="2">
        <v>13862.06</v>
      </c>
      <c r="J68" s="2">
        <v>19199.7</v>
      </c>
      <c r="K68">
        <v>72.06</v>
      </c>
      <c r="L68" t="s">
        <v>24</v>
      </c>
      <c r="M68">
        <f>MONTH(Manufacturing[[#This Row],[Production Date]])</f>
        <v>4</v>
      </c>
      <c r="N68">
        <f>YEAR(Manufacturing[[#This Row],[Production Date]])</f>
        <v>2025</v>
      </c>
      <c r="O68" t="str">
        <f t="shared" si="1"/>
        <v>40-49</v>
      </c>
    </row>
    <row r="69" spans="1:15">
      <c r="A69" t="s">
        <v>98</v>
      </c>
      <c r="B69" t="s">
        <v>21</v>
      </c>
      <c r="C69" t="s">
        <v>22</v>
      </c>
      <c r="D69" t="s">
        <v>18</v>
      </c>
      <c r="E69" s="1">
        <v>45944</v>
      </c>
      <c r="F69" s="3">
        <v>2687</v>
      </c>
      <c r="G69" s="3">
        <v>29</v>
      </c>
      <c r="H69">
        <v>5.85</v>
      </c>
      <c r="I69" s="2">
        <v>41607.75</v>
      </c>
      <c r="J69" s="2">
        <v>48752.53</v>
      </c>
      <c r="K69">
        <v>90.94</v>
      </c>
      <c r="L69" t="s">
        <v>29</v>
      </c>
      <c r="M69">
        <f>MONTH(Manufacturing[[#This Row],[Production Date]])</f>
        <v>10</v>
      </c>
      <c r="N69">
        <f>YEAR(Manufacturing[[#This Row],[Production Date]])</f>
        <v>2025</v>
      </c>
      <c r="O69" t="str">
        <f t="shared" si="1"/>
        <v>20-29</v>
      </c>
    </row>
    <row r="70" spans="1:15">
      <c r="A70" t="s">
        <v>99</v>
      </c>
      <c r="B70" t="s">
        <v>36</v>
      </c>
      <c r="C70" t="s">
        <v>32</v>
      </c>
      <c r="D70" t="s">
        <v>27</v>
      </c>
      <c r="E70" s="1">
        <v>45713</v>
      </c>
      <c r="F70" s="3">
        <v>1760</v>
      </c>
      <c r="G70" s="3">
        <v>39</v>
      </c>
      <c r="H70">
        <v>7.3</v>
      </c>
      <c r="I70" s="2">
        <v>35933.65</v>
      </c>
      <c r="J70" s="2">
        <v>51768.02</v>
      </c>
      <c r="K70">
        <v>90.82</v>
      </c>
      <c r="L70" t="s">
        <v>29</v>
      </c>
      <c r="M70">
        <f>MONTH(Manufacturing[[#This Row],[Production Date]])</f>
        <v>2</v>
      </c>
      <c r="N70">
        <f>YEAR(Manufacturing[[#This Row],[Production Date]])</f>
        <v>2025</v>
      </c>
      <c r="O70" t="str">
        <f t="shared" si="1"/>
        <v>30-39</v>
      </c>
    </row>
    <row r="71" spans="1:15">
      <c r="A71" t="s">
        <v>100</v>
      </c>
      <c r="B71" t="s">
        <v>36</v>
      </c>
      <c r="C71" t="s">
        <v>32</v>
      </c>
      <c r="D71" t="s">
        <v>27</v>
      </c>
      <c r="E71" s="1">
        <v>45818</v>
      </c>
      <c r="F71" s="3">
        <v>2425</v>
      </c>
      <c r="G71" s="3">
        <v>34</v>
      </c>
      <c r="H71">
        <v>6.15</v>
      </c>
      <c r="I71" s="2">
        <v>41470.370000000003</v>
      </c>
      <c r="J71" s="2">
        <v>52572.79</v>
      </c>
      <c r="K71">
        <v>81.38</v>
      </c>
      <c r="L71" t="s">
        <v>33</v>
      </c>
      <c r="M71">
        <f>MONTH(Manufacturing[[#This Row],[Production Date]])</f>
        <v>6</v>
      </c>
      <c r="N71">
        <f>YEAR(Manufacturing[[#This Row],[Production Date]])</f>
        <v>2025</v>
      </c>
      <c r="O71" t="str">
        <f t="shared" si="1"/>
        <v>30-39</v>
      </c>
    </row>
    <row r="72" spans="1:15">
      <c r="A72" t="s">
        <v>101</v>
      </c>
      <c r="B72" t="s">
        <v>31</v>
      </c>
      <c r="C72" t="s">
        <v>32</v>
      </c>
      <c r="D72" t="s">
        <v>27</v>
      </c>
      <c r="E72" s="1">
        <v>45772</v>
      </c>
      <c r="F72" s="3">
        <v>4444</v>
      </c>
      <c r="G72" s="3">
        <v>23</v>
      </c>
      <c r="H72">
        <v>8.08</v>
      </c>
      <c r="I72" s="2">
        <v>35930.43</v>
      </c>
      <c r="J72" s="2">
        <v>45987.49</v>
      </c>
      <c r="K72">
        <v>95.08</v>
      </c>
      <c r="L72" t="s">
        <v>29</v>
      </c>
      <c r="M72">
        <f>MONTH(Manufacturing[[#This Row],[Production Date]])</f>
        <v>4</v>
      </c>
      <c r="N72">
        <f>YEAR(Manufacturing[[#This Row],[Production Date]])</f>
        <v>2025</v>
      </c>
      <c r="O72" t="str">
        <f t="shared" si="1"/>
        <v>20-29</v>
      </c>
    </row>
    <row r="73" spans="1:15">
      <c r="A73" t="s">
        <v>102</v>
      </c>
      <c r="B73" t="s">
        <v>21</v>
      </c>
      <c r="C73" t="s">
        <v>32</v>
      </c>
      <c r="D73" t="s">
        <v>18</v>
      </c>
      <c r="E73" s="1">
        <v>45787</v>
      </c>
      <c r="F73" s="3">
        <v>2510</v>
      </c>
      <c r="G73" s="3">
        <v>48</v>
      </c>
      <c r="H73">
        <v>5.84</v>
      </c>
      <c r="I73" s="2">
        <v>30036.42</v>
      </c>
      <c r="J73" s="2">
        <v>34534.730000000003</v>
      </c>
      <c r="K73">
        <v>81.63</v>
      </c>
      <c r="L73" t="s">
        <v>37</v>
      </c>
      <c r="M73">
        <f>MONTH(Manufacturing[[#This Row],[Production Date]])</f>
        <v>5</v>
      </c>
      <c r="N73">
        <f>YEAR(Manufacturing[[#This Row],[Production Date]])</f>
        <v>2025</v>
      </c>
      <c r="O73" t="str">
        <f t="shared" si="1"/>
        <v>40-49</v>
      </c>
    </row>
    <row r="74" spans="1:15">
      <c r="A74" t="s">
        <v>103</v>
      </c>
      <c r="B74" t="s">
        <v>36</v>
      </c>
      <c r="C74" t="s">
        <v>32</v>
      </c>
      <c r="D74" t="s">
        <v>23</v>
      </c>
      <c r="E74" s="1">
        <v>45890</v>
      </c>
      <c r="F74" s="3">
        <v>3132</v>
      </c>
      <c r="G74" s="3">
        <v>9</v>
      </c>
      <c r="H74">
        <v>1.64</v>
      </c>
      <c r="I74" s="2">
        <v>23194.240000000002</v>
      </c>
      <c r="J74" s="2">
        <v>26505.83</v>
      </c>
      <c r="K74">
        <v>86.78</v>
      </c>
      <c r="L74" t="s">
        <v>19</v>
      </c>
      <c r="M74">
        <f>MONTH(Manufacturing[[#This Row],[Production Date]])</f>
        <v>8</v>
      </c>
      <c r="N74">
        <f>YEAR(Manufacturing[[#This Row],[Production Date]])</f>
        <v>2025</v>
      </c>
      <c r="O74" t="str">
        <f t="shared" si="1"/>
        <v>0-9</v>
      </c>
    </row>
    <row r="75" spans="1:15">
      <c r="A75" t="s">
        <v>104</v>
      </c>
      <c r="B75" t="s">
        <v>36</v>
      </c>
      <c r="C75" t="s">
        <v>22</v>
      </c>
      <c r="D75" t="s">
        <v>27</v>
      </c>
      <c r="E75" s="1">
        <v>45807</v>
      </c>
      <c r="F75" s="3">
        <v>2326</v>
      </c>
      <c r="G75" s="3">
        <v>31</v>
      </c>
      <c r="H75">
        <v>1.84</v>
      </c>
      <c r="I75" s="2">
        <v>48743.72</v>
      </c>
      <c r="J75" s="2">
        <v>65820.789999999994</v>
      </c>
      <c r="K75">
        <v>95</v>
      </c>
      <c r="L75" t="s">
        <v>29</v>
      </c>
      <c r="M75">
        <f>MONTH(Manufacturing[[#This Row],[Production Date]])</f>
        <v>5</v>
      </c>
      <c r="N75">
        <f>YEAR(Manufacturing[[#This Row],[Production Date]])</f>
        <v>2025</v>
      </c>
      <c r="O75" t="str">
        <f t="shared" si="1"/>
        <v>30-39</v>
      </c>
    </row>
    <row r="76" spans="1:15">
      <c r="A76" t="s">
        <v>105</v>
      </c>
      <c r="B76" t="s">
        <v>16</v>
      </c>
      <c r="C76" t="s">
        <v>17</v>
      </c>
      <c r="D76" t="s">
        <v>27</v>
      </c>
      <c r="E76" s="1">
        <v>45811</v>
      </c>
      <c r="F76" s="3">
        <v>1525</v>
      </c>
      <c r="G76" s="3">
        <v>11</v>
      </c>
      <c r="H76">
        <v>1.34</v>
      </c>
      <c r="I76" s="2">
        <v>5530.53</v>
      </c>
      <c r="J76" s="2">
        <v>7985.6</v>
      </c>
      <c r="K76">
        <v>72.48</v>
      </c>
      <c r="L76" t="s">
        <v>24</v>
      </c>
      <c r="M76">
        <f>MONTH(Manufacturing[[#This Row],[Production Date]])</f>
        <v>6</v>
      </c>
      <c r="N76">
        <f>YEAR(Manufacturing[[#This Row],[Production Date]])</f>
        <v>2025</v>
      </c>
      <c r="O76" t="str">
        <f t="shared" si="1"/>
        <v>10-19</v>
      </c>
    </row>
    <row r="77" spans="1:15">
      <c r="A77" t="s">
        <v>106</v>
      </c>
      <c r="B77" t="s">
        <v>36</v>
      </c>
      <c r="C77" t="s">
        <v>17</v>
      </c>
      <c r="D77" t="s">
        <v>27</v>
      </c>
      <c r="E77" s="1">
        <v>45647</v>
      </c>
      <c r="F77" s="3">
        <v>3348</v>
      </c>
      <c r="G77" s="3">
        <v>44</v>
      </c>
      <c r="H77">
        <v>3.16</v>
      </c>
      <c r="I77" s="2">
        <v>36861.980000000003</v>
      </c>
      <c r="J77" s="2">
        <v>50790.45</v>
      </c>
      <c r="K77">
        <v>73.73</v>
      </c>
      <c r="L77" t="s">
        <v>33</v>
      </c>
      <c r="M77">
        <f>MONTH(Manufacturing[[#This Row],[Production Date]])</f>
        <v>12</v>
      </c>
      <c r="N77">
        <f>YEAR(Manufacturing[[#This Row],[Production Date]])</f>
        <v>2024</v>
      </c>
      <c r="O77" t="str">
        <f t="shared" si="1"/>
        <v>40-49</v>
      </c>
    </row>
    <row r="78" spans="1:15">
      <c r="A78" t="s">
        <v>107</v>
      </c>
      <c r="B78" t="s">
        <v>21</v>
      </c>
      <c r="C78" t="s">
        <v>17</v>
      </c>
      <c r="D78" t="s">
        <v>27</v>
      </c>
      <c r="E78" s="1">
        <v>45860</v>
      </c>
      <c r="F78" s="3">
        <v>1224</v>
      </c>
      <c r="G78" s="3">
        <v>7</v>
      </c>
      <c r="H78">
        <v>1.51</v>
      </c>
      <c r="I78" s="2">
        <v>28953.040000000001</v>
      </c>
      <c r="J78" s="2">
        <v>35204.43</v>
      </c>
      <c r="K78">
        <v>71.73</v>
      </c>
      <c r="L78" t="s">
        <v>24</v>
      </c>
      <c r="M78">
        <f>MONTH(Manufacturing[[#This Row],[Production Date]])</f>
        <v>7</v>
      </c>
      <c r="N78">
        <f>YEAR(Manufacturing[[#This Row],[Production Date]])</f>
        <v>2025</v>
      </c>
      <c r="O78" t="str">
        <f t="shared" si="1"/>
        <v>0-9</v>
      </c>
    </row>
    <row r="79" spans="1:15">
      <c r="A79" t="s">
        <v>108</v>
      </c>
      <c r="B79" t="s">
        <v>21</v>
      </c>
      <c r="C79" t="s">
        <v>22</v>
      </c>
      <c r="D79" t="s">
        <v>27</v>
      </c>
      <c r="E79" s="1">
        <v>45952</v>
      </c>
      <c r="F79" s="3">
        <v>4849</v>
      </c>
      <c r="G79" s="3">
        <v>15</v>
      </c>
      <c r="H79">
        <v>4.34</v>
      </c>
      <c r="I79" s="2">
        <v>15978.61</v>
      </c>
      <c r="J79" s="2">
        <v>18396.580000000002</v>
      </c>
      <c r="K79">
        <v>97.48</v>
      </c>
      <c r="L79" t="s">
        <v>19</v>
      </c>
      <c r="M79">
        <f>MONTH(Manufacturing[[#This Row],[Production Date]])</f>
        <v>10</v>
      </c>
      <c r="N79">
        <f>YEAR(Manufacturing[[#This Row],[Production Date]])</f>
        <v>2025</v>
      </c>
      <c r="O79" t="str">
        <f t="shared" si="1"/>
        <v>10-19</v>
      </c>
    </row>
    <row r="80" spans="1:15">
      <c r="A80" t="s">
        <v>109</v>
      </c>
      <c r="B80" t="s">
        <v>21</v>
      </c>
      <c r="C80" t="s">
        <v>17</v>
      </c>
      <c r="D80" t="s">
        <v>27</v>
      </c>
      <c r="E80" s="1">
        <v>45755</v>
      </c>
      <c r="F80" s="3">
        <v>3815</v>
      </c>
      <c r="G80" s="3">
        <v>34</v>
      </c>
      <c r="H80">
        <v>9.6300000000000008</v>
      </c>
      <c r="I80" s="2">
        <v>2541.67</v>
      </c>
      <c r="J80" s="2">
        <v>3435.34</v>
      </c>
      <c r="K80">
        <v>77.760000000000005</v>
      </c>
      <c r="L80" t="s">
        <v>33</v>
      </c>
      <c r="M80">
        <f>MONTH(Manufacturing[[#This Row],[Production Date]])</f>
        <v>4</v>
      </c>
      <c r="N80">
        <f>YEAR(Manufacturing[[#This Row],[Production Date]])</f>
        <v>2025</v>
      </c>
      <c r="O80" t="str">
        <f t="shared" si="1"/>
        <v>30-39</v>
      </c>
    </row>
    <row r="81" spans="1:15">
      <c r="A81" t="s">
        <v>110</v>
      </c>
      <c r="B81" t="s">
        <v>31</v>
      </c>
      <c r="C81" t="s">
        <v>17</v>
      </c>
      <c r="D81" t="s">
        <v>27</v>
      </c>
      <c r="E81" s="1">
        <v>45634</v>
      </c>
      <c r="F81" s="3">
        <v>1133</v>
      </c>
      <c r="G81" s="3">
        <v>26</v>
      </c>
      <c r="H81">
        <v>5.99</v>
      </c>
      <c r="I81" s="2">
        <v>4587.58</v>
      </c>
      <c r="J81" s="2">
        <v>6739.21</v>
      </c>
      <c r="K81">
        <v>87.78</v>
      </c>
      <c r="L81" t="s">
        <v>33</v>
      </c>
      <c r="M81">
        <f>MONTH(Manufacturing[[#This Row],[Production Date]])</f>
        <v>12</v>
      </c>
      <c r="N81">
        <f>YEAR(Manufacturing[[#This Row],[Production Date]])</f>
        <v>2024</v>
      </c>
      <c r="O81" t="str">
        <f t="shared" si="1"/>
        <v>20-29</v>
      </c>
    </row>
    <row r="82" spans="1:15">
      <c r="A82" t="s">
        <v>111</v>
      </c>
      <c r="B82" t="s">
        <v>21</v>
      </c>
      <c r="C82" t="s">
        <v>22</v>
      </c>
      <c r="D82" t="s">
        <v>27</v>
      </c>
      <c r="E82" s="1">
        <v>45924</v>
      </c>
      <c r="F82" s="3">
        <v>4036</v>
      </c>
      <c r="G82" s="3">
        <v>3</v>
      </c>
      <c r="H82">
        <v>2.97</v>
      </c>
      <c r="I82" s="2">
        <v>26450.34</v>
      </c>
      <c r="J82" s="2">
        <v>31510.71</v>
      </c>
      <c r="K82">
        <v>99.65</v>
      </c>
      <c r="L82" t="s">
        <v>29</v>
      </c>
      <c r="M82">
        <f>MONTH(Manufacturing[[#This Row],[Production Date]])</f>
        <v>9</v>
      </c>
      <c r="N82">
        <f>YEAR(Manufacturing[[#This Row],[Production Date]])</f>
        <v>2025</v>
      </c>
      <c r="O82" t="str">
        <f t="shared" si="1"/>
        <v>0-9</v>
      </c>
    </row>
    <row r="83" spans="1:15">
      <c r="A83" t="s">
        <v>112</v>
      </c>
      <c r="B83" t="s">
        <v>21</v>
      </c>
      <c r="C83" t="s">
        <v>17</v>
      </c>
      <c r="D83" t="s">
        <v>23</v>
      </c>
      <c r="E83" s="1">
        <v>45949</v>
      </c>
      <c r="F83" s="3">
        <v>3980</v>
      </c>
      <c r="G83" s="3">
        <v>15</v>
      </c>
      <c r="H83">
        <v>4.68</v>
      </c>
      <c r="I83" s="2">
        <v>19045.86</v>
      </c>
      <c r="J83" s="2">
        <v>21147.54</v>
      </c>
      <c r="K83">
        <v>83.69</v>
      </c>
      <c r="L83" t="s">
        <v>19</v>
      </c>
      <c r="M83">
        <f>MONTH(Manufacturing[[#This Row],[Production Date]])</f>
        <v>10</v>
      </c>
      <c r="N83">
        <f>YEAR(Manufacturing[[#This Row],[Production Date]])</f>
        <v>2025</v>
      </c>
      <c r="O83" t="str">
        <f t="shared" si="1"/>
        <v>10-19</v>
      </c>
    </row>
    <row r="84" spans="1:15">
      <c r="A84" t="s">
        <v>113</v>
      </c>
      <c r="B84" t="s">
        <v>31</v>
      </c>
      <c r="C84" t="s">
        <v>32</v>
      </c>
      <c r="D84" t="s">
        <v>27</v>
      </c>
      <c r="E84" s="1">
        <v>45903</v>
      </c>
      <c r="F84" s="3">
        <v>2560</v>
      </c>
      <c r="G84" s="3">
        <v>50</v>
      </c>
      <c r="H84">
        <v>6.61</v>
      </c>
      <c r="I84" s="2">
        <v>17655.57</v>
      </c>
      <c r="J84" s="2">
        <v>20192.62</v>
      </c>
      <c r="K84">
        <v>95.87</v>
      </c>
      <c r="L84" t="s">
        <v>24</v>
      </c>
      <c r="M84">
        <f>MONTH(Manufacturing[[#This Row],[Production Date]])</f>
        <v>9</v>
      </c>
      <c r="N84">
        <f>YEAR(Manufacturing[[#This Row],[Production Date]])</f>
        <v>2025</v>
      </c>
      <c r="O84" t="str">
        <f t="shared" si="1"/>
        <v>50+</v>
      </c>
    </row>
    <row r="85" spans="1:15">
      <c r="A85" t="s">
        <v>114</v>
      </c>
      <c r="B85" t="s">
        <v>31</v>
      </c>
      <c r="C85" t="s">
        <v>32</v>
      </c>
      <c r="D85" t="s">
        <v>27</v>
      </c>
      <c r="E85" s="1">
        <v>45788</v>
      </c>
      <c r="F85" s="3">
        <v>2742</v>
      </c>
      <c r="G85" s="3">
        <v>16</v>
      </c>
      <c r="H85">
        <v>3.51</v>
      </c>
      <c r="I85" s="2">
        <v>30524.89</v>
      </c>
      <c r="J85" s="2">
        <v>36063.99</v>
      </c>
      <c r="K85">
        <v>98.13</v>
      </c>
      <c r="L85" t="s">
        <v>37</v>
      </c>
      <c r="M85">
        <f>MONTH(Manufacturing[[#This Row],[Production Date]])</f>
        <v>5</v>
      </c>
      <c r="N85">
        <f>YEAR(Manufacturing[[#This Row],[Production Date]])</f>
        <v>2025</v>
      </c>
      <c r="O85" t="str">
        <f t="shared" si="1"/>
        <v>10-19</v>
      </c>
    </row>
    <row r="86" spans="1:15">
      <c r="A86" t="s">
        <v>115</v>
      </c>
      <c r="B86" t="s">
        <v>31</v>
      </c>
      <c r="C86" t="s">
        <v>22</v>
      </c>
      <c r="D86" t="s">
        <v>23</v>
      </c>
      <c r="E86" s="1">
        <v>45726</v>
      </c>
      <c r="F86" s="3">
        <v>2596</v>
      </c>
      <c r="G86" s="3">
        <v>45</v>
      </c>
      <c r="H86">
        <v>5.08</v>
      </c>
      <c r="I86" s="2">
        <v>14619.05</v>
      </c>
      <c r="J86" s="2">
        <v>20384.849999999999</v>
      </c>
      <c r="K86">
        <v>88.18</v>
      </c>
      <c r="L86" t="s">
        <v>24</v>
      </c>
      <c r="M86">
        <f>MONTH(Manufacturing[[#This Row],[Production Date]])</f>
        <v>3</v>
      </c>
      <c r="N86">
        <f>YEAR(Manufacturing[[#This Row],[Production Date]])</f>
        <v>2025</v>
      </c>
      <c r="O86" t="str">
        <f t="shared" si="1"/>
        <v>40-49</v>
      </c>
    </row>
    <row r="87" spans="1:15">
      <c r="A87" t="s">
        <v>116</v>
      </c>
      <c r="B87" t="s">
        <v>21</v>
      </c>
      <c r="C87" t="s">
        <v>17</v>
      </c>
      <c r="D87" t="s">
        <v>27</v>
      </c>
      <c r="E87" s="1">
        <v>45674</v>
      </c>
      <c r="F87" s="3">
        <v>114</v>
      </c>
      <c r="G87" s="3">
        <v>49</v>
      </c>
      <c r="H87">
        <v>6.48</v>
      </c>
      <c r="I87" s="2">
        <v>29408.880000000001</v>
      </c>
      <c r="J87" s="2">
        <v>35774.019999999997</v>
      </c>
      <c r="K87">
        <v>72.41</v>
      </c>
      <c r="L87" t="s">
        <v>19</v>
      </c>
      <c r="M87">
        <f>MONTH(Manufacturing[[#This Row],[Production Date]])</f>
        <v>1</v>
      </c>
      <c r="N87">
        <f>YEAR(Manufacturing[[#This Row],[Production Date]])</f>
        <v>2025</v>
      </c>
      <c r="O87" t="str">
        <f t="shared" si="1"/>
        <v>40-49</v>
      </c>
    </row>
    <row r="88" spans="1:15">
      <c r="A88" t="s">
        <v>117</v>
      </c>
      <c r="B88" t="s">
        <v>26</v>
      </c>
      <c r="C88" t="s">
        <v>22</v>
      </c>
      <c r="D88" t="s">
        <v>18</v>
      </c>
      <c r="E88" s="1">
        <v>45721</v>
      </c>
      <c r="F88" s="3">
        <v>4749</v>
      </c>
      <c r="G88" s="3">
        <v>16</v>
      </c>
      <c r="H88">
        <v>0.36</v>
      </c>
      <c r="I88" s="2">
        <v>47300.51</v>
      </c>
      <c r="J88" s="2">
        <v>69868.59</v>
      </c>
      <c r="K88">
        <v>78.150000000000006</v>
      </c>
      <c r="L88" t="s">
        <v>29</v>
      </c>
      <c r="M88">
        <f>MONTH(Manufacturing[[#This Row],[Production Date]])</f>
        <v>3</v>
      </c>
      <c r="N88">
        <f>YEAR(Manufacturing[[#This Row],[Production Date]])</f>
        <v>2025</v>
      </c>
      <c r="O88" t="str">
        <f t="shared" si="1"/>
        <v>10-19</v>
      </c>
    </row>
    <row r="89" spans="1:15">
      <c r="A89" t="s">
        <v>118</v>
      </c>
      <c r="B89" t="s">
        <v>16</v>
      </c>
      <c r="C89" t="s">
        <v>17</v>
      </c>
      <c r="D89" t="s">
        <v>27</v>
      </c>
      <c r="E89" s="1">
        <v>45848</v>
      </c>
      <c r="F89" s="3">
        <v>2475</v>
      </c>
      <c r="G89" s="3">
        <v>17</v>
      </c>
      <c r="H89">
        <v>7.88</v>
      </c>
      <c r="I89" s="2">
        <v>19129.96</v>
      </c>
      <c r="J89" s="2">
        <v>26591.66</v>
      </c>
      <c r="K89">
        <v>70.98</v>
      </c>
      <c r="L89" t="s">
        <v>29</v>
      </c>
      <c r="M89">
        <f>MONTH(Manufacturing[[#This Row],[Production Date]])</f>
        <v>7</v>
      </c>
      <c r="N89">
        <f>YEAR(Manufacturing[[#This Row],[Production Date]])</f>
        <v>2025</v>
      </c>
      <c r="O89" t="str">
        <f t="shared" si="1"/>
        <v>10-19</v>
      </c>
    </row>
    <row r="90" spans="1:15">
      <c r="A90" t="s">
        <v>119</v>
      </c>
      <c r="B90" t="s">
        <v>31</v>
      </c>
      <c r="C90" t="s">
        <v>32</v>
      </c>
      <c r="D90" t="s">
        <v>18</v>
      </c>
      <c r="E90" s="1">
        <v>45852</v>
      </c>
      <c r="F90" s="3">
        <v>2868</v>
      </c>
      <c r="G90" s="3">
        <v>42</v>
      </c>
      <c r="H90">
        <v>3.58</v>
      </c>
      <c r="I90" s="2">
        <v>18846.53</v>
      </c>
      <c r="J90" s="2">
        <v>26790.52</v>
      </c>
      <c r="K90">
        <v>85.37</v>
      </c>
      <c r="L90" t="s">
        <v>29</v>
      </c>
      <c r="M90">
        <f>MONTH(Manufacturing[[#This Row],[Production Date]])</f>
        <v>7</v>
      </c>
      <c r="N90">
        <f>YEAR(Manufacturing[[#This Row],[Production Date]])</f>
        <v>2025</v>
      </c>
      <c r="O90" t="str">
        <f t="shared" si="1"/>
        <v>40-49</v>
      </c>
    </row>
    <row r="91" spans="1:15">
      <c r="A91" t="s">
        <v>120</v>
      </c>
      <c r="B91" t="s">
        <v>31</v>
      </c>
      <c r="C91" t="s">
        <v>17</v>
      </c>
      <c r="D91" t="s">
        <v>27</v>
      </c>
      <c r="E91" s="1">
        <v>45923</v>
      </c>
      <c r="F91" s="3">
        <v>4607</v>
      </c>
      <c r="G91" s="3">
        <v>25</v>
      </c>
      <c r="H91">
        <v>1.55</v>
      </c>
      <c r="I91" s="2">
        <v>19065.45</v>
      </c>
      <c r="J91" s="2">
        <v>28279.119999999999</v>
      </c>
      <c r="K91">
        <v>91.76</v>
      </c>
      <c r="L91" t="s">
        <v>29</v>
      </c>
      <c r="M91">
        <f>MONTH(Manufacturing[[#This Row],[Production Date]])</f>
        <v>9</v>
      </c>
      <c r="N91">
        <f>YEAR(Manufacturing[[#This Row],[Production Date]])</f>
        <v>2025</v>
      </c>
      <c r="O91" t="str">
        <f t="shared" si="1"/>
        <v>20-29</v>
      </c>
    </row>
    <row r="92" spans="1:15">
      <c r="A92" t="s">
        <v>121</v>
      </c>
      <c r="B92" t="s">
        <v>26</v>
      </c>
      <c r="C92" t="s">
        <v>17</v>
      </c>
      <c r="D92" t="s">
        <v>23</v>
      </c>
      <c r="E92" s="1">
        <v>45730</v>
      </c>
      <c r="F92" s="3">
        <v>2645</v>
      </c>
      <c r="G92" s="3">
        <v>3</v>
      </c>
      <c r="H92">
        <v>2.16</v>
      </c>
      <c r="I92" s="2">
        <v>17758.849999999999</v>
      </c>
      <c r="J92" s="2">
        <v>21083.23</v>
      </c>
      <c r="K92">
        <v>77.84</v>
      </c>
      <c r="L92" t="s">
        <v>24</v>
      </c>
      <c r="M92">
        <f>MONTH(Manufacturing[[#This Row],[Production Date]])</f>
        <v>3</v>
      </c>
      <c r="N92">
        <f>YEAR(Manufacturing[[#This Row],[Production Date]])</f>
        <v>2025</v>
      </c>
      <c r="O92" t="str">
        <f t="shared" si="1"/>
        <v>0-9</v>
      </c>
    </row>
    <row r="93" spans="1:15">
      <c r="A93" t="s">
        <v>122</v>
      </c>
      <c r="B93" t="s">
        <v>26</v>
      </c>
      <c r="C93" t="s">
        <v>32</v>
      </c>
      <c r="D93" t="s">
        <v>27</v>
      </c>
      <c r="E93" s="1">
        <v>45748</v>
      </c>
      <c r="F93" s="3">
        <v>3362</v>
      </c>
      <c r="G93" s="3">
        <v>44</v>
      </c>
      <c r="H93">
        <v>1.33</v>
      </c>
      <c r="I93" s="2">
        <v>28671.23</v>
      </c>
      <c r="J93" s="2">
        <v>35654.199999999997</v>
      </c>
      <c r="K93">
        <v>97.2</v>
      </c>
      <c r="L93" t="s">
        <v>33</v>
      </c>
      <c r="M93">
        <f>MONTH(Manufacturing[[#This Row],[Production Date]])</f>
        <v>4</v>
      </c>
      <c r="N93">
        <f>YEAR(Manufacturing[[#This Row],[Production Date]])</f>
        <v>2025</v>
      </c>
      <c r="O93" t="str">
        <f t="shared" si="1"/>
        <v>40-49</v>
      </c>
    </row>
    <row r="94" spans="1:15">
      <c r="A94" t="s">
        <v>123</v>
      </c>
      <c r="B94" t="s">
        <v>26</v>
      </c>
      <c r="C94" t="s">
        <v>32</v>
      </c>
      <c r="D94" t="s">
        <v>27</v>
      </c>
      <c r="E94" s="1">
        <v>45771</v>
      </c>
      <c r="F94" s="3">
        <v>4982</v>
      </c>
      <c r="G94" s="3">
        <v>19</v>
      </c>
      <c r="H94">
        <v>8.1999999999999993</v>
      </c>
      <c r="I94" s="2">
        <v>13020.63</v>
      </c>
      <c r="J94" s="2">
        <v>18097.37</v>
      </c>
      <c r="K94">
        <v>78.489999999999995</v>
      </c>
      <c r="L94" t="s">
        <v>19</v>
      </c>
      <c r="M94">
        <f>MONTH(Manufacturing[[#This Row],[Production Date]])</f>
        <v>4</v>
      </c>
      <c r="N94">
        <f>YEAR(Manufacturing[[#This Row],[Production Date]])</f>
        <v>2025</v>
      </c>
      <c r="O94" t="str">
        <f t="shared" si="1"/>
        <v>10-19</v>
      </c>
    </row>
    <row r="95" spans="1:15">
      <c r="A95" t="s">
        <v>124</v>
      </c>
      <c r="B95" t="s">
        <v>31</v>
      </c>
      <c r="C95" t="s">
        <v>17</v>
      </c>
      <c r="D95" t="s">
        <v>27</v>
      </c>
      <c r="E95" s="1">
        <v>45696</v>
      </c>
      <c r="F95" s="3">
        <v>178</v>
      </c>
      <c r="G95" s="3">
        <v>13</v>
      </c>
      <c r="H95">
        <v>9.24</v>
      </c>
      <c r="I95" s="2">
        <v>5072.13</v>
      </c>
      <c r="J95" s="2">
        <v>6187.35</v>
      </c>
      <c r="K95">
        <v>90.19</v>
      </c>
      <c r="L95" t="s">
        <v>24</v>
      </c>
      <c r="M95">
        <f>MONTH(Manufacturing[[#This Row],[Production Date]])</f>
        <v>2</v>
      </c>
      <c r="N95">
        <f>YEAR(Manufacturing[[#This Row],[Production Date]])</f>
        <v>2025</v>
      </c>
      <c r="O95" t="str">
        <f t="shared" si="1"/>
        <v>10-19</v>
      </c>
    </row>
    <row r="96" spans="1:15">
      <c r="A96" t="s">
        <v>125</v>
      </c>
      <c r="B96" t="s">
        <v>26</v>
      </c>
      <c r="C96" t="s">
        <v>22</v>
      </c>
      <c r="D96" t="s">
        <v>23</v>
      </c>
      <c r="E96" s="1">
        <v>45670</v>
      </c>
      <c r="F96" s="3">
        <v>2820</v>
      </c>
      <c r="G96" s="3">
        <v>42</v>
      </c>
      <c r="H96">
        <v>8.23</v>
      </c>
      <c r="I96" s="2">
        <v>21324.01</v>
      </c>
      <c r="J96" s="2">
        <v>26984.94</v>
      </c>
      <c r="K96">
        <v>87.29</v>
      </c>
      <c r="L96" t="s">
        <v>29</v>
      </c>
      <c r="M96">
        <f>MONTH(Manufacturing[[#This Row],[Production Date]])</f>
        <v>1</v>
      </c>
      <c r="N96">
        <f>YEAR(Manufacturing[[#This Row],[Production Date]])</f>
        <v>2025</v>
      </c>
      <c r="O96" t="str">
        <f t="shared" si="1"/>
        <v>40-49</v>
      </c>
    </row>
    <row r="97" spans="1:15">
      <c r="A97" t="s">
        <v>126</v>
      </c>
      <c r="B97" t="s">
        <v>21</v>
      </c>
      <c r="C97" t="s">
        <v>22</v>
      </c>
      <c r="D97" t="s">
        <v>23</v>
      </c>
      <c r="E97" s="1">
        <v>45648</v>
      </c>
      <c r="F97" s="3">
        <v>3551</v>
      </c>
      <c r="G97" s="3">
        <v>47</v>
      </c>
      <c r="H97">
        <v>7.2</v>
      </c>
      <c r="I97" s="2">
        <v>17423.02</v>
      </c>
      <c r="J97" s="2">
        <v>23038.18</v>
      </c>
      <c r="K97">
        <v>78.22</v>
      </c>
      <c r="L97" t="s">
        <v>37</v>
      </c>
      <c r="M97">
        <f>MONTH(Manufacturing[[#This Row],[Production Date]])</f>
        <v>12</v>
      </c>
      <c r="N97">
        <f>YEAR(Manufacturing[[#This Row],[Production Date]])</f>
        <v>2024</v>
      </c>
      <c r="O97" t="str">
        <f t="shared" si="1"/>
        <v>40-49</v>
      </c>
    </row>
    <row r="98" spans="1:15">
      <c r="A98" t="s">
        <v>127</v>
      </c>
      <c r="B98" t="s">
        <v>21</v>
      </c>
      <c r="C98" t="s">
        <v>32</v>
      </c>
      <c r="D98" t="s">
        <v>27</v>
      </c>
      <c r="E98" s="1">
        <v>45837</v>
      </c>
      <c r="F98" s="3">
        <v>3150</v>
      </c>
      <c r="G98" s="3">
        <v>13</v>
      </c>
      <c r="H98">
        <v>3.97</v>
      </c>
      <c r="I98" s="2">
        <v>43999.89</v>
      </c>
      <c r="J98" s="2">
        <v>62293.86</v>
      </c>
      <c r="K98">
        <v>92.53</v>
      </c>
      <c r="L98" t="s">
        <v>24</v>
      </c>
      <c r="M98">
        <f>MONTH(Manufacturing[[#This Row],[Production Date]])</f>
        <v>6</v>
      </c>
      <c r="N98">
        <f>YEAR(Manufacturing[[#This Row],[Production Date]])</f>
        <v>2025</v>
      </c>
      <c r="O98" t="str">
        <f t="shared" si="1"/>
        <v>10-19</v>
      </c>
    </row>
    <row r="99" spans="1:15">
      <c r="A99" t="s">
        <v>128</v>
      </c>
      <c r="B99" t="s">
        <v>21</v>
      </c>
      <c r="C99" t="s">
        <v>32</v>
      </c>
      <c r="D99" t="s">
        <v>27</v>
      </c>
      <c r="E99" s="1">
        <v>45729</v>
      </c>
      <c r="F99" s="3">
        <v>1261</v>
      </c>
      <c r="G99" s="3">
        <v>41</v>
      </c>
      <c r="H99">
        <v>5.29</v>
      </c>
      <c r="I99" s="2">
        <v>36211.49</v>
      </c>
      <c r="J99" s="2">
        <v>46227.73</v>
      </c>
      <c r="K99">
        <v>86.71</v>
      </c>
      <c r="L99" t="s">
        <v>24</v>
      </c>
      <c r="M99">
        <f>MONTH(Manufacturing[[#This Row],[Production Date]])</f>
        <v>3</v>
      </c>
      <c r="N99">
        <f>YEAR(Manufacturing[[#This Row],[Production Date]])</f>
        <v>2025</v>
      </c>
      <c r="O99" t="str">
        <f t="shared" si="1"/>
        <v>40-49</v>
      </c>
    </row>
    <row r="100" spans="1:15">
      <c r="A100" t="s">
        <v>129</v>
      </c>
      <c r="B100" t="s">
        <v>21</v>
      </c>
      <c r="C100" t="s">
        <v>17</v>
      </c>
      <c r="D100" t="s">
        <v>27</v>
      </c>
      <c r="E100" s="1">
        <v>45605</v>
      </c>
      <c r="F100" s="3">
        <v>2140</v>
      </c>
      <c r="G100" s="3">
        <v>31</v>
      </c>
      <c r="H100">
        <v>4.08</v>
      </c>
      <c r="I100" s="2">
        <v>27346.11</v>
      </c>
      <c r="J100" s="2">
        <v>36942.120000000003</v>
      </c>
      <c r="K100">
        <v>70.86</v>
      </c>
      <c r="L100" t="s">
        <v>37</v>
      </c>
      <c r="M100">
        <f>MONTH(Manufacturing[[#This Row],[Production Date]])</f>
        <v>11</v>
      </c>
      <c r="N100">
        <f>YEAR(Manufacturing[[#This Row],[Production Date]])</f>
        <v>2024</v>
      </c>
      <c r="O100" t="str">
        <f t="shared" si="1"/>
        <v>30-39</v>
      </c>
    </row>
    <row r="101" spans="1:15">
      <c r="A101" t="s">
        <v>130</v>
      </c>
      <c r="B101" t="s">
        <v>21</v>
      </c>
      <c r="C101" t="s">
        <v>32</v>
      </c>
      <c r="D101" t="s">
        <v>27</v>
      </c>
      <c r="E101" s="1">
        <v>45849</v>
      </c>
      <c r="F101" s="3">
        <v>384</v>
      </c>
      <c r="G101" s="3">
        <v>0</v>
      </c>
      <c r="H101">
        <v>5.45</v>
      </c>
      <c r="I101" s="2">
        <v>35598.519999999997</v>
      </c>
      <c r="J101" s="2">
        <v>49276.86</v>
      </c>
      <c r="K101">
        <v>83.08</v>
      </c>
      <c r="L101" t="s">
        <v>29</v>
      </c>
      <c r="M101">
        <f>MONTH(Manufacturing[[#This Row],[Production Date]])</f>
        <v>7</v>
      </c>
      <c r="N101">
        <f>YEAR(Manufacturing[[#This Row],[Production Date]])</f>
        <v>2025</v>
      </c>
      <c r="O101" t="str">
        <f t="shared" si="1"/>
        <v>0-9</v>
      </c>
    </row>
    <row r="102" spans="1:15">
      <c r="A102" t="s">
        <v>131</v>
      </c>
      <c r="B102" t="s">
        <v>31</v>
      </c>
      <c r="C102" t="s">
        <v>32</v>
      </c>
      <c r="D102" t="s">
        <v>27</v>
      </c>
      <c r="E102" s="1">
        <v>45779</v>
      </c>
      <c r="F102" s="3">
        <v>2038</v>
      </c>
      <c r="G102" s="3">
        <v>50</v>
      </c>
      <c r="H102">
        <v>1.78</v>
      </c>
      <c r="I102" s="2">
        <v>6037.5</v>
      </c>
      <c r="J102" s="2">
        <v>6843.66</v>
      </c>
      <c r="K102">
        <v>89.3</v>
      </c>
      <c r="L102" t="s">
        <v>19</v>
      </c>
      <c r="M102">
        <f>MONTH(Manufacturing[[#This Row],[Production Date]])</f>
        <v>5</v>
      </c>
      <c r="N102">
        <f>YEAR(Manufacturing[[#This Row],[Production Date]])</f>
        <v>2025</v>
      </c>
      <c r="O102" t="str">
        <f t="shared" si="1"/>
        <v>50+</v>
      </c>
    </row>
    <row r="103" spans="1:15">
      <c r="A103" t="s">
        <v>132</v>
      </c>
      <c r="B103" t="s">
        <v>26</v>
      </c>
      <c r="C103" t="s">
        <v>17</v>
      </c>
      <c r="D103" t="s">
        <v>27</v>
      </c>
      <c r="E103" s="1">
        <v>45604</v>
      </c>
      <c r="F103" s="3">
        <v>2260</v>
      </c>
      <c r="G103" s="3">
        <v>3</v>
      </c>
      <c r="H103">
        <v>1.74</v>
      </c>
      <c r="I103" s="2">
        <v>26959.84</v>
      </c>
      <c r="J103" s="2">
        <v>36128.97</v>
      </c>
      <c r="K103">
        <v>78.319999999999993</v>
      </c>
      <c r="L103" t="s">
        <v>37</v>
      </c>
      <c r="M103">
        <f>MONTH(Manufacturing[[#This Row],[Production Date]])</f>
        <v>11</v>
      </c>
      <c r="N103">
        <f>YEAR(Manufacturing[[#This Row],[Production Date]])</f>
        <v>2024</v>
      </c>
      <c r="O103" t="str">
        <f t="shared" si="1"/>
        <v>0-9</v>
      </c>
    </row>
    <row r="104" spans="1:15">
      <c r="A104" t="s">
        <v>133</v>
      </c>
      <c r="B104" t="s">
        <v>26</v>
      </c>
      <c r="C104" t="s">
        <v>32</v>
      </c>
      <c r="D104" t="s">
        <v>27</v>
      </c>
      <c r="E104" s="1">
        <v>45697</v>
      </c>
      <c r="F104" s="3">
        <v>4137</v>
      </c>
      <c r="G104" s="3">
        <v>24</v>
      </c>
      <c r="H104">
        <v>9.98</v>
      </c>
      <c r="I104" s="2">
        <v>46417.42</v>
      </c>
      <c r="J104" s="2">
        <v>54185.72</v>
      </c>
      <c r="K104">
        <v>84.4</v>
      </c>
      <c r="L104" t="s">
        <v>33</v>
      </c>
      <c r="M104">
        <f>MONTH(Manufacturing[[#This Row],[Production Date]])</f>
        <v>2</v>
      </c>
      <c r="N104">
        <f>YEAR(Manufacturing[[#This Row],[Production Date]])</f>
        <v>2025</v>
      </c>
      <c r="O104" t="str">
        <f t="shared" si="1"/>
        <v>20-29</v>
      </c>
    </row>
    <row r="105" spans="1:15">
      <c r="A105" t="s">
        <v>134</v>
      </c>
      <c r="B105" t="s">
        <v>16</v>
      </c>
      <c r="C105" t="s">
        <v>32</v>
      </c>
      <c r="D105" t="s">
        <v>23</v>
      </c>
      <c r="E105" s="1">
        <v>45714</v>
      </c>
      <c r="F105" s="3">
        <v>690</v>
      </c>
      <c r="G105" s="3">
        <v>47</v>
      </c>
      <c r="H105">
        <v>7.11</v>
      </c>
      <c r="I105" s="2">
        <v>21930.98</v>
      </c>
      <c r="J105" s="2">
        <v>29039.08</v>
      </c>
      <c r="K105">
        <v>94.16</v>
      </c>
      <c r="L105" t="s">
        <v>19</v>
      </c>
      <c r="M105">
        <f>MONTH(Manufacturing[[#This Row],[Production Date]])</f>
        <v>2</v>
      </c>
      <c r="N105">
        <f>YEAR(Manufacturing[[#This Row],[Production Date]])</f>
        <v>2025</v>
      </c>
      <c r="O105" t="str">
        <f t="shared" si="1"/>
        <v>40-49</v>
      </c>
    </row>
    <row r="106" spans="1:15">
      <c r="A106" t="s">
        <v>135</v>
      </c>
      <c r="B106" t="s">
        <v>16</v>
      </c>
      <c r="C106" t="s">
        <v>17</v>
      </c>
      <c r="D106" t="s">
        <v>18</v>
      </c>
      <c r="E106" s="1">
        <v>45885</v>
      </c>
      <c r="F106" s="3">
        <v>3479</v>
      </c>
      <c r="G106" s="3">
        <v>47</v>
      </c>
      <c r="H106">
        <v>5.71</v>
      </c>
      <c r="I106" s="2">
        <v>36805.379999999997</v>
      </c>
      <c r="J106" s="2">
        <v>50218.77</v>
      </c>
      <c r="K106">
        <v>81.31</v>
      </c>
      <c r="L106" t="s">
        <v>24</v>
      </c>
      <c r="M106">
        <f>MONTH(Manufacturing[[#This Row],[Production Date]])</f>
        <v>8</v>
      </c>
      <c r="N106">
        <f>YEAR(Manufacturing[[#This Row],[Production Date]])</f>
        <v>2025</v>
      </c>
      <c r="O106" t="str">
        <f t="shared" si="1"/>
        <v>40-49</v>
      </c>
    </row>
    <row r="107" spans="1:15">
      <c r="A107" t="s">
        <v>136</v>
      </c>
      <c r="B107" t="s">
        <v>21</v>
      </c>
      <c r="C107" t="s">
        <v>22</v>
      </c>
      <c r="D107" t="s">
        <v>27</v>
      </c>
      <c r="E107" s="1">
        <v>45825</v>
      </c>
      <c r="F107" s="3">
        <v>679</v>
      </c>
      <c r="G107" s="3">
        <v>44</v>
      </c>
      <c r="H107">
        <v>5.3</v>
      </c>
      <c r="I107" s="2">
        <v>18860.66</v>
      </c>
      <c r="J107" s="2">
        <v>24340.98</v>
      </c>
      <c r="K107">
        <v>97.54</v>
      </c>
      <c r="L107" t="s">
        <v>19</v>
      </c>
      <c r="M107">
        <f>MONTH(Manufacturing[[#This Row],[Production Date]])</f>
        <v>6</v>
      </c>
      <c r="N107">
        <f>YEAR(Manufacturing[[#This Row],[Production Date]])</f>
        <v>2025</v>
      </c>
      <c r="O107" t="str">
        <f t="shared" si="1"/>
        <v>40-49</v>
      </c>
    </row>
    <row r="108" spans="1:15">
      <c r="A108" t="s">
        <v>137</v>
      </c>
      <c r="B108" t="s">
        <v>36</v>
      </c>
      <c r="C108" t="s">
        <v>32</v>
      </c>
      <c r="D108" t="s">
        <v>18</v>
      </c>
      <c r="E108" s="1">
        <v>45602</v>
      </c>
      <c r="F108" s="3">
        <v>2054</v>
      </c>
      <c r="G108" s="3">
        <v>37</v>
      </c>
      <c r="H108">
        <v>6.16</v>
      </c>
      <c r="I108" s="2">
        <v>32656.07</v>
      </c>
      <c r="J108" s="2">
        <v>45419.31</v>
      </c>
      <c r="K108">
        <v>87.92</v>
      </c>
      <c r="L108" t="s">
        <v>29</v>
      </c>
      <c r="M108">
        <f>MONTH(Manufacturing[[#This Row],[Production Date]])</f>
        <v>11</v>
      </c>
      <c r="N108">
        <f>YEAR(Manufacturing[[#This Row],[Production Date]])</f>
        <v>2024</v>
      </c>
      <c r="O108" t="str">
        <f t="shared" si="1"/>
        <v>30-39</v>
      </c>
    </row>
    <row r="109" spans="1:15">
      <c r="A109" t="s">
        <v>138</v>
      </c>
      <c r="B109" t="s">
        <v>31</v>
      </c>
      <c r="C109" t="s">
        <v>17</v>
      </c>
      <c r="D109" t="s">
        <v>23</v>
      </c>
      <c r="E109" s="1">
        <v>45759</v>
      </c>
      <c r="F109" s="3">
        <v>4738</v>
      </c>
      <c r="G109" s="3">
        <v>29</v>
      </c>
      <c r="H109">
        <v>4.0999999999999996</v>
      </c>
      <c r="I109" s="2">
        <v>27940.11</v>
      </c>
      <c r="J109" s="2">
        <v>31878.63</v>
      </c>
      <c r="K109">
        <v>70.13</v>
      </c>
      <c r="L109" t="s">
        <v>29</v>
      </c>
      <c r="M109">
        <f>MONTH(Manufacturing[[#This Row],[Production Date]])</f>
        <v>4</v>
      </c>
      <c r="N109">
        <f>YEAR(Manufacturing[[#This Row],[Production Date]])</f>
        <v>2025</v>
      </c>
      <c r="O109" t="str">
        <f t="shared" si="1"/>
        <v>20-29</v>
      </c>
    </row>
    <row r="110" spans="1:15">
      <c r="A110" t="s">
        <v>139</v>
      </c>
      <c r="B110" t="s">
        <v>16</v>
      </c>
      <c r="C110" t="s">
        <v>17</v>
      </c>
      <c r="D110" t="s">
        <v>23</v>
      </c>
      <c r="E110" s="1">
        <v>45897</v>
      </c>
      <c r="F110" s="3">
        <v>519</v>
      </c>
      <c r="G110" s="3">
        <v>40</v>
      </c>
      <c r="H110">
        <v>0.53</v>
      </c>
      <c r="I110" s="2">
        <v>6477.14</v>
      </c>
      <c r="J110" s="2">
        <v>8165.39</v>
      </c>
      <c r="K110">
        <v>80.05</v>
      </c>
      <c r="L110" t="s">
        <v>29</v>
      </c>
      <c r="M110">
        <f>MONTH(Manufacturing[[#This Row],[Production Date]])</f>
        <v>8</v>
      </c>
      <c r="N110">
        <f>YEAR(Manufacturing[[#This Row],[Production Date]])</f>
        <v>2025</v>
      </c>
      <c r="O110" t="str">
        <f t="shared" si="1"/>
        <v>40-49</v>
      </c>
    </row>
    <row r="111" spans="1:15">
      <c r="A111" t="s">
        <v>140</v>
      </c>
      <c r="B111" t="s">
        <v>36</v>
      </c>
      <c r="C111" t="s">
        <v>32</v>
      </c>
      <c r="D111" t="s">
        <v>27</v>
      </c>
      <c r="E111" s="1">
        <v>45850</v>
      </c>
      <c r="F111" s="3">
        <v>2463</v>
      </c>
      <c r="G111" s="3">
        <v>48</v>
      </c>
      <c r="H111">
        <v>1.03</v>
      </c>
      <c r="I111" s="2">
        <v>5360.53</v>
      </c>
      <c r="J111" s="2">
        <v>7157.55</v>
      </c>
      <c r="K111">
        <v>82.18</v>
      </c>
      <c r="L111" t="s">
        <v>24</v>
      </c>
      <c r="M111">
        <f>MONTH(Manufacturing[[#This Row],[Production Date]])</f>
        <v>7</v>
      </c>
      <c r="N111">
        <f>YEAR(Manufacturing[[#This Row],[Production Date]])</f>
        <v>2025</v>
      </c>
      <c r="O111" t="str">
        <f t="shared" si="1"/>
        <v>40-49</v>
      </c>
    </row>
    <row r="112" spans="1:15">
      <c r="A112" t="s">
        <v>141</v>
      </c>
      <c r="B112" t="s">
        <v>31</v>
      </c>
      <c r="C112" t="s">
        <v>17</v>
      </c>
      <c r="D112" t="s">
        <v>18</v>
      </c>
      <c r="E112" s="1">
        <v>45739</v>
      </c>
      <c r="F112" s="3">
        <v>315</v>
      </c>
      <c r="G112" s="3">
        <v>49</v>
      </c>
      <c r="H112">
        <v>7.35</v>
      </c>
      <c r="I112" s="2">
        <v>26378.03</v>
      </c>
      <c r="J112" s="2">
        <v>29824.42</v>
      </c>
      <c r="K112">
        <v>78.760000000000005</v>
      </c>
      <c r="L112" t="s">
        <v>29</v>
      </c>
      <c r="M112">
        <f>MONTH(Manufacturing[[#This Row],[Production Date]])</f>
        <v>3</v>
      </c>
      <c r="N112">
        <f>YEAR(Manufacturing[[#This Row],[Production Date]])</f>
        <v>2025</v>
      </c>
      <c r="O112" t="str">
        <f t="shared" si="1"/>
        <v>40-49</v>
      </c>
    </row>
    <row r="113" spans="1:15">
      <c r="A113" t="s">
        <v>142</v>
      </c>
      <c r="B113" t="s">
        <v>36</v>
      </c>
      <c r="C113" t="s">
        <v>22</v>
      </c>
      <c r="D113" t="s">
        <v>27</v>
      </c>
      <c r="E113" s="1">
        <v>45805</v>
      </c>
      <c r="F113" s="3">
        <v>832</v>
      </c>
      <c r="G113" s="3">
        <v>26</v>
      </c>
      <c r="H113">
        <v>8.65</v>
      </c>
      <c r="I113" s="2">
        <v>47192.62</v>
      </c>
      <c r="J113" s="2">
        <v>65986.36</v>
      </c>
      <c r="K113">
        <v>70.709999999999994</v>
      </c>
      <c r="L113" t="s">
        <v>37</v>
      </c>
      <c r="M113">
        <f>MONTH(Manufacturing[[#This Row],[Production Date]])</f>
        <v>5</v>
      </c>
      <c r="N113">
        <f>YEAR(Manufacturing[[#This Row],[Production Date]])</f>
        <v>2025</v>
      </c>
      <c r="O113" t="str">
        <f t="shared" si="1"/>
        <v>20-29</v>
      </c>
    </row>
    <row r="114" spans="1:15">
      <c r="A114" t="s">
        <v>143</v>
      </c>
      <c r="B114" t="s">
        <v>21</v>
      </c>
      <c r="C114" t="s">
        <v>22</v>
      </c>
      <c r="D114" t="s">
        <v>23</v>
      </c>
      <c r="E114" s="1">
        <v>45773</v>
      </c>
      <c r="F114" s="3">
        <v>173</v>
      </c>
      <c r="G114" s="3">
        <v>24</v>
      </c>
      <c r="H114">
        <v>0.45</v>
      </c>
      <c r="I114" s="2">
        <v>15617.18</v>
      </c>
      <c r="J114" s="2">
        <v>21141.72</v>
      </c>
      <c r="K114">
        <v>75.44</v>
      </c>
      <c r="L114" t="s">
        <v>33</v>
      </c>
      <c r="M114">
        <f>MONTH(Manufacturing[[#This Row],[Production Date]])</f>
        <v>4</v>
      </c>
      <c r="N114">
        <f>YEAR(Manufacturing[[#This Row],[Production Date]])</f>
        <v>2025</v>
      </c>
      <c r="O114" t="str">
        <f t="shared" si="1"/>
        <v>20-29</v>
      </c>
    </row>
    <row r="115" spans="1:15">
      <c r="A115" t="s">
        <v>144</v>
      </c>
      <c r="B115" t="s">
        <v>21</v>
      </c>
      <c r="C115" t="s">
        <v>17</v>
      </c>
      <c r="D115" t="s">
        <v>27</v>
      </c>
      <c r="E115" s="1">
        <v>45728</v>
      </c>
      <c r="F115" s="3">
        <v>1680</v>
      </c>
      <c r="G115" s="3">
        <v>3</v>
      </c>
      <c r="H115">
        <v>8.42</v>
      </c>
      <c r="I115" s="2">
        <v>7294.27</v>
      </c>
      <c r="J115" s="2">
        <v>9718.16</v>
      </c>
      <c r="K115">
        <v>96.97</v>
      </c>
      <c r="L115" t="s">
        <v>19</v>
      </c>
      <c r="M115">
        <f>MONTH(Manufacturing[[#This Row],[Production Date]])</f>
        <v>3</v>
      </c>
      <c r="N115">
        <f>YEAR(Manufacturing[[#This Row],[Production Date]])</f>
        <v>2025</v>
      </c>
      <c r="O115" t="str">
        <f t="shared" si="1"/>
        <v>0-9</v>
      </c>
    </row>
    <row r="116" spans="1:15">
      <c r="A116" t="s">
        <v>145</v>
      </c>
      <c r="B116" t="s">
        <v>16</v>
      </c>
      <c r="C116" t="s">
        <v>32</v>
      </c>
      <c r="D116" t="s">
        <v>18</v>
      </c>
      <c r="E116" s="1">
        <v>45711</v>
      </c>
      <c r="F116" s="3">
        <v>4351</v>
      </c>
      <c r="G116" s="3">
        <v>46</v>
      </c>
      <c r="H116">
        <v>9.18</v>
      </c>
      <c r="I116" s="2">
        <v>20906.259999999998</v>
      </c>
      <c r="J116" s="2">
        <v>27747.21</v>
      </c>
      <c r="K116">
        <v>93.18</v>
      </c>
      <c r="L116" t="s">
        <v>29</v>
      </c>
      <c r="M116">
        <f>MONTH(Manufacturing[[#This Row],[Production Date]])</f>
        <v>2</v>
      </c>
      <c r="N116">
        <f>YEAR(Manufacturing[[#This Row],[Production Date]])</f>
        <v>2025</v>
      </c>
      <c r="O116" t="str">
        <f t="shared" si="1"/>
        <v>40-49</v>
      </c>
    </row>
    <row r="117" spans="1:15">
      <c r="A117" t="s">
        <v>146</v>
      </c>
      <c r="B117" t="s">
        <v>36</v>
      </c>
      <c r="C117" t="s">
        <v>22</v>
      </c>
      <c r="D117" t="s">
        <v>27</v>
      </c>
      <c r="E117" s="1">
        <v>45895</v>
      </c>
      <c r="F117" s="3">
        <v>3343</v>
      </c>
      <c r="G117" s="3">
        <v>42</v>
      </c>
      <c r="H117">
        <v>2</v>
      </c>
      <c r="I117" s="2">
        <v>2293.71</v>
      </c>
      <c r="J117" s="2">
        <v>3279.82</v>
      </c>
      <c r="K117">
        <v>99.69</v>
      </c>
      <c r="L117" t="s">
        <v>33</v>
      </c>
      <c r="M117">
        <f>MONTH(Manufacturing[[#This Row],[Production Date]])</f>
        <v>8</v>
      </c>
      <c r="N117">
        <f>YEAR(Manufacturing[[#This Row],[Production Date]])</f>
        <v>2025</v>
      </c>
      <c r="O117" t="str">
        <f t="shared" si="1"/>
        <v>40-49</v>
      </c>
    </row>
    <row r="118" spans="1:15">
      <c r="A118" t="s">
        <v>147</v>
      </c>
      <c r="B118" t="s">
        <v>26</v>
      </c>
      <c r="C118" t="s">
        <v>32</v>
      </c>
      <c r="D118" t="s">
        <v>23</v>
      </c>
      <c r="E118" s="1">
        <v>45847</v>
      </c>
      <c r="F118" s="3">
        <v>3259</v>
      </c>
      <c r="G118" s="3">
        <v>39</v>
      </c>
      <c r="H118">
        <v>2.84</v>
      </c>
      <c r="I118" s="2">
        <v>38819.72</v>
      </c>
      <c r="J118" s="2">
        <v>43633.1</v>
      </c>
      <c r="K118">
        <v>70.81</v>
      </c>
      <c r="L118" t="s">
        <v>37</v>
      </c>
      <c r="M118">
        <f>MONTH(Manufacturing[[#This Row],[Production Date]])</f>
        <v>7</v>
      </c>
      <c r="N118">
        <f>YEAR(Manufacturing[[#This Row],[Production Date]])</f>
        <v>2025</v>
      </c>
      <c r="O118" t="str">
        <f t="shared" si="1"/>
        <v>30-39</v>
      </c>
    </row>
    <row r="119" spans="1:15">
      <c r="A119" t="s">
        <v>148</v>
      </c>
      <c r="B119" t="s">
        <v>36</v>
      </c>
      <c r="C119" t="s">
        <v>17</v>
      </c>
      <c r="D119" t="s">
        <v>27</v>
      </c>
      <c r="E119" s="1">
        <v>45805</v>
      </c>
      <c r="F119" s="3">
        <v>108</v>
      </c>
      <c r="G119" s="3">
        <v>43</v>
      </c>
      <c r="H119">
        <v>6.31</v>
      </c>
      <c r="I119" s="2">
        <v>48123.43</v>
      </c>
      <c r="J119" s="2">
        <v>62159.79</v>
      </c>
      <c r="K119">
        <v>89.25</v>
      </c>
      <c r="L119" t="s">
        <v>33</v>
      </c>
      <c r="M119">
        <f>MONTH(Manufacturing[[#This Row],[Production Date]])</f>
        <v>5</v>
      </c>
      <c r="N119">
        <f>YEAR(Manufacturing[[#This Row],[Production Date]])</f>
        <v>2025</v>
      </c>
      <c r="O119" t="str">
        <f t="shared" si="1"/>
        <v>40-49</v>
      </c>
    </row>
    <row r="120" spans="1:15">
      <c r="A120" t="s">
        <v>149</v>
      </c>
      <c r="B120" t="s">
        <v>26</v>
      </c>
      <c r="C120" t="s">
        <v>22</v>
      </c>
      <c r="D120" t="s">
        <v>27</v>
      </c>
      <c r="E120" s="1">
        <v>45826</v>
      </c>
      <c r="F120" s="3">
        <v>4938</v>
      </c>
      <c r="G120" s="3">
        <v>8</v>
      </c>
      <c r="H120">
        <v>8.69</v>
      </c>
      <c r="I120" s="2">
        <v>34878.949999999997</v>
      </c>
      <c r="J120" s="2">
        <v>51861.84</v>
      </c>
      <c r="K120">
        <v>84.31</v>
      </c>
      <c r="L120" t="s">
        <v>33</v>
      </c>
      <c r="M120">
        <f>MONTH(Manufacturing[[#This Row],[Production Date]])</f>
        <v>6</v>
      </c>
      <c r="N120">
        <f>YEAR(Manufacturing[[#This Row],[Production Date]])</f>
        <v>2025</v>
      </c>
      <c r="O120" t="str">
        <f t="shared" si="1"/>
        <v>0-9</v>
      </c>
    </row>
    <row r="121" spans="1:15">
      <c r="A121" t="s">
        <v>150</v>
      </c>
      <c r="B121" t="s">
        <v>21</v>
      </c>
      <c r="C121" t="s">
        <v>17</v>
      </c>
      <c r="D121" t="s">
        <v>23</v>
      </c>
      <c r="E121" s="1">
        <v>45628</v>
      </c>
      <c r="F121" s="3">
        <v>3072</v>
      </c>
      <c r="G121" s="3">
        <v>8</v>
      </c>
      <c r="H121">
        <v>9.77</v>
      </c>
      <c r="I121" s="2">
        <v>35993.53</v>
      </c>
      <c r="J121" s="2">
        <v>47463.66</v>
      </c>
      <c r="K121">
        <v>75.73</v>
      </c>
      <c r="L121" t="s">
        <v>24</v>
      </c>
      <c r="M121">
        <f>MONTH(Manufacturing[[#This Row],[Production Date]])</f>
        <v>12</v>
      </c>
      <c r="N121">
        <f>YEAR(Manufacturing[[#This Row],[Production Date]])</f>
        <v>2024</v>
      </c>
      <c r="O121" t="str">
        <f t="shared" si="1"/>
        <v>0-9</v>
      </c>
    </row>
    <row r="122" spans="1:15">
      <c r="A122" t="s">
        <v>151</v>
      </c>
      <c r="B122" t="s">
        <v>31</v>
      </c>
      <c r="C122" t="s">
        <v>17</v>
      </c>
      <c r="D122" t="s">
        <v>18</v>
      </c>
      <c r="E122" s="1">
        <v>45616</v>
      </c>
      <c r="F122" s="3">
        <v>2911</v>
      </c>
      <c r="G122" s="3">
        <v>6</v>
      </c>
      <c r="H122">
        <v>5.6</v>
      </c>
      <c r="I122" s="2">
        <v>47380.83</v>
      </c>
      <c r="J122" s="2">
        <v>56282.22</v>
      </c>
      <c r="K122">
        <v>92.08</v>
      </c>
      <c r="L122" t="s">
        <v>29</v>
      </c>
      <c r="M122">
        <f>MONTH(Manufacturing[[#This Row],[Production Date]])</f>
        <v>11</v>
      </c>
      <c r="N122">
        <f>YEAR(Manufacturing[[#This Row],[Production Date]])</f>
        <v>2024</v>
      </c>
      <c r="O122" t="str">
        <f t="shared" si="1"/>
        <v>0-9</v>
      </c>
    </row>
    <row r="123" spans="1:15">
      <c r="A123" t="s">
        <v>152</v>
      </c>
      <c r="B123" t="s">
        <v>31</v>
      </c>
      <c r="C123" t="s">
        <v>22</v>
      </c>
      <c r="D123" t="s">
        <v>23</v>
      </c>
      <c r="E123" s="1">
        <v>45945</v>
      </c>
      <c r="F123" s="3">
        <v>4371</v>
      </c>
      <c r="G123" s="3">
        <v>24</v>
      </c>
      <c r="H123">
        <v>1.91</v>
      </c>
      <c r="I123" s="2">
        <v>48414.16</v>
      </c>
      <c r="J123" s="2">
        <v>53303.76</v>
      </c>
      <c r="K123">
        <v>78.55</v>
      </c>
      <c r="L123" t="s">
        <v>37</v>
      </c>
      <c r="M123">
        <f>MONTH(Manufacturing[[#This Row],[Production Date]])</f>
        <v>10</v>
      </c>
      <c r="N123">
        <f>YEAR(Manufacturing[[#This Row],[Production Date]])</f>
        <v>2025</v>
      </c>
      <c r="O123" t="str">
        <f t="shared" si="1"/>
        <v>20-29</v>
      </c>
    </row>
    <row r="124" spans="1:15">
      <c r="A124" t="s">
        <v>153</v>
      </c>
      <c r="B124" t="s">
        <v>36</v>
      </c>
      <c r="C124" t="s">
        <v>32</v>
      </c>
      <c r="D124" t="s">
        <v>27</v>
      </c>
      <c r="E124" s="1">
        <v>45710</v>
      </c>
      <c r="F124" s="3">
        <v>436</v>
      </c>
      <c r="G124" s="3">
        <v>13</v>
      </c>
      <c r="H124">
        <v>7.77</v>
      </c>
      <c r="I124" s="2">
        <v>11309.53</v>
      </c>
      <c r="J124" s="2">
        <v>13458.48</v>
      </c>
      <c r="K124">
        <v>83.18</v>
      </c>
      <c r="L124" t="s">
        <v>29</v>
      </c>
      <c r="M124">
        <f>MONTH(Manufacturing[[#This Row],[Production Date]])</f>
        <v>2</v>
      </c>
      <c r="N124">
        <f>YEAR(Manufacturing[[#This Row],[Production Date]])</f>
        <v>2025</v>
      </c>
      <c r="O124" t="str">
        <f t="shared" si="1"/>
        <v>10-19</v>
      </c>
    </row>
    <row r="125" spans="1:15">
      <c r="A125" t="s">
        <v>154</v>
      </c>
      <c r="B125" t="s">
        <v>21</v>
      </c>
      <c r="C125" t="s">
        <v>32</v>
      </c>
      <c r="D125" t="s">
        <v>27</v>
      </c>
      <c r="E125" s="1">
        <v>45679</v>
      </c>
      <c r="F125" s="3">
        <v>2129</v>
      </c>
      <c r="G125" s="3">
        <v>7</v>
      </c>
      <c r="H125">
        <v>8.9499999999999993</v>
      </c>
      <c r="I125" s="2">
        <v>38297.81</v>
      </c>
      <c r="J125" s="2">
        <v>50706.19</v>
      </c>
      <c r="K125">
        <v>76.099999999999994</v>
      </c>
      <c r="L125" t="s">
        <v>19</v>
      </c>
      <c r="M125">
        <f>MONTH(Manufacturing[[#This Row],[Production Date]])</f>
        <v>1</v>
      </c>
      <c r="N125">
        <f>YEAR(Manufacturing[[#This Row],[Production Date]])</f>
        <v>2025</v>
      </c>
      <c r="O125" t="str">
        <f t="shared" si="1"/>
        <v>0-9</v>
      </c>
    </row>
    <row r="126" spans="1:15">
      <c r="A126" t="s">
        <v>155</v>
      </c>
      <c r="B126" t="s">
        <v>21</v>
      </c>
      <c r="C126" t="s">
        <v>32</v>
      </c>
      <c r="D126" t="s">
        <v>18</v>
      </c>
      <c r="E126" s="1">
        <v>45838</v>
      </c>
      <c r="F126" s="3">
        <v>3015</v>
      </c>
      <c r="G126" s="3">
        <v>1</v>
      </c>
      <c r="H126">
        <v>8.52</v>
      </c>
      <c r="I126" s="2">
        <v>6961.44</v>
      </c>
      <c r="J126" s="2">
        <v>8455.07</v>
      </c>
      <c r="K126">
        <v>91.67</v>
      </c>
      <c r="L126" t="s">
        <v>24</v>
      </c>
      <c r="M126">
        <f>MONTH(Manufacturing[[#This Row],[Production Date]])</f>
        <v>6</v>
      </c>
      <c r="N126">
        <f>YEAR(Manufacturing[[#This Row],[Production Date]])</f>
        <v>2025</v>
      </c>
      <c r="O126" t="str">
        <f t="shared" si="1"/>
        <v>0-9</v>
      </c>
    </row>
    <row r="127" spans="1:15">
      <c r="A127" t="s">
        <v>156</v>
      </c>
      <c r="B127" t="s">
        <v>16</v>
      </c>
      <c r="C127" t="s">
        <v>32</v>
      </c>
      <c r="D127" t="s">
        <v>18</v>
      </c>
      <c r="E127" s="1">
        <v>45849</v>
      </c>
      <c r="F127" s="3">
        <v>1217</v>
      </c>
      <c r="G127" s="3">
        <v>36</v>
      </c>
      <c r="H127">
        <v>2.86</v>
      </c>
      <c r="I127" s="2">
        <v>38597.620000000003</v>
      </c>
      <c r="J127" s="2">
        <v>55526.68</v>
      </c>
      <c r="K127">
        <v>82.01</v>
      </c>
      <c r="L127" t="s">
        <v>29</v>
      </c>
      <c r="M127">
        <f>MONTH(Manufacturing[[#This Row],[Production Date]])</f>
        <v>7</v>
      </c>
      <c r="N127">
        <f>YEAR(Manufacturing[[#This Row],[Production Date]])</f>
        <v>2025</v>
      </c>
      <c r="O127" t="str">
        <f t="shared" si="1"/>
        <v>30-39</v>
      </c>
    </row>
    <row r="128" spans="1:15">
      <c r="A128" t="s">
        <v>157</v>
      </c>
      <c r="B128" t="s">
        <v>16</v>
      </c>
      <c r="C128" t="s">
        <v>17</v>
      </c>
      <c r="D128" t="s">
        <v>23</v>
      </c>
      <c r="E128" s="1">
        <v>45696</v>
      </c>
      <c r="F128" s="3">
        <v>3183</v>
      </c>
      <c r="G128" s="3">
        <v>5</v>
      </c>
      <c r="H128">
        <v>1.86</v>
      </c>
      <c r="I128" s="2">
        <v>7612.37</v>
      </c>
      <c r="J128" s="2">
        <v>11274.8</v>
      </c>
      <c r="K128">
        <v>75.02</v>
      </c>
      <c r="L128" t="s">
        <v>24</v>
      </c>
      <c r="M128">
        <f>MONTH(Manufacturing[[#This Row],[Production Date]])</f>
        <v>2</v>
      </c>
      <c r="N128">
        <f>YEAR(Manufacturing[[#This Row],[Production Date]])</f>
        <v>2025</v>
      </c>
      <c r="O128" t="str">
        <f t="shared" si="1"/>
        <v>0-9</v>
      </c>
    </row>
    <row r="129" spans="1:15">
      <c r="A129" t="s">
        <v>158</v>
      </c>
      <c r="B129" t="s">
        <v>36</v>
      </c>
      <c r="C129" t="s">
        <v>22</v>
      </c>
      <c r="D129" t="s">
        <v>23</v>
      </c>
      <c r="E129" s="1">
        <v>45780</v>
      </c>
      <c r="F129" s="3">
        <v>963</v>
      </c>
      <c r="G129" s="3">
        <v>6</v>
      </c>
      <c r="H129">
        <v>5.0199999999999996</v>
      </c>
      <c r="I129" s="2">
        <v>1148.3399999999999</v>
      </c>
      <c r="J129" s="2">
        <v>1550.41</v>
      </c>
      <c r="K129">
        <v>88.27</v>
      </c>
      <c r="L129" t="s">
        <v>19</v>
      </c>
      <c r="M129">
        <f>MONTH(Manufacturing[[#This Row],[Production Date]])</f>
        <v>5</v>
      </c>
      <c r="N129">
        <f>YEAR(Manufacturing[[#This Row],[Production Date]])</f>
        <v>2025</v>
      </c>
      <c r="O129" t="str">
        <f t="shared" si="1"/>
        <v>0-9</v>
      </c>
    </row>
    <row r="130" spans="1:15">
      <c r="A130" t="s">
        <v>159</v>
      </c>
      <c r="B130" t="s">
        <v>26</v>
      </c>
      <c r="C130" t="s">
        <v>32</v>
      </c>
      <c r="D130" t="s">
        <v>23</v>
      </c>
      <c r="E130" s="1">
        <v>45692</v>
      </c>
      <c r="F130" s="3">
        <v>2998</v>
      </c>
      <c r="G130" s="3">
        <v>50</v>
      </c>
      <c r="H130">
        <v>9.68</v>
      </c>
      <c r="I130" s="2">
        <v>12393.27</v>
      </c>
      <c r="J130" s="2">
        <v>18109.84</v>
      </c>
      <c r="K130">
        <v>74.760000000000005</v>
      </c>
      <c r="L130" t="s">
        <v>19</v>
      </c>
      <c r="M130">
        <f>MONTH(Manufacturing[[#This Row],[Production Date]])</f>
        <v>2</v>
      </c>
      <c r="N130">
        <f>YEAR(Manufacturing[[#This Row],[Production Date]])</f>
        <v>2025</v>
      </c>
      <c r="O130" t="str">
        <f t="shared" si="1"/>
        <v>50+</v>
      </c>
    </row>
    <row r="131" spans="1:15">
      <c r="A131" t="s">
        <v>160</v>
      </c>
      <c r="B131" t="s">
        <v>21</v>
      </c>
      <c r="C131" t="s">
        <v>32</v>
      </c>
      <c r="D131" t="s">
        <v>27</v>
      </c>
      <c r="E131" s="1">
        <v>45952</v>
      </c>
      <c r="F131" s="3">
        <v>3485</v>
      </c>
      <c r="G131" s="3">
        <v>47</v>
      </c>
      <c r="H131">
        <v>7.89</v>
      </c>
      <c r="I131" s="2">
        <v>40266.15</v>
      </c>
      <c r="J131" s="2">
        <v>46296.58</v>
      </c>
      <c r="K131">
        <v>89.26</v>
      </c>
      <c r="L131" t="s">
        <v>24</v>
      </c>
      <c r="M131">
        <f>MONTH(Manufacturing[[#This Row],[Production Date]])</f>
        <v>10</v>
      </c>
      <c r="N131">
        <f>YEAR(Manufacturing[[#This Row],[Production Date]])</f>
        <v>2025</v>
      </c>
      <c r="O131" t="str">
        <f t="shared" ref="O131:O194" si="2">IF(G131&lt;=9,"0-9",IF(G131&lt;=19,"10-19",IF(G131&lt;=29,"20-29",IF(G131&lt;=39,"30-39",IF(G131&lt;=49,"40-49","50+")))))</f>
        <v>40-49</v>
      </c>
    </row>
    <row r="132" spans="1:15">
      <c r="A132" t="s">
        <v>161</v>
      </c>
      <c r="B132" t="s">
        <v>21</v>
      </c>
      <c r="C132" t="s">
        <v>17</v>
      </c>
      <c r="D132" t="s">
        <v>18</v>
      </c>
      <c r="E132" s="1">
        <v>45679</v>
      </c>
      <c r="F132" s="3">
        <v>4980</v>
      </c>
      <c r="G132" s="3">
        <v>24</v>
      </c>
      <c r="H132">
        <v>0.49</v>
      </c>
      <c r="I132" s="2">
        <v>22290.13</v>
      </c>
      <c r="J132" s="2">
        <v>31788.03</v>
      </c>
      <c r="K132">
        <v>78.06</v>
      </c>
      <c r="L132" t="s">
        <v>29</v>
      </c>
      <c r="M132">
        <f>MONTH(Manufacturing[[#This Row],[Production Date]])</f>
        <v>1</v>
      </c>
      <c r="N132">
        <f>YEAR(Manufacturing[[#This Row],[Production Date]])</f>
        <v>2025</v>
      </c>
      <c r="O132" t="str">
        <f t="shared" si="2"/>
        <v>20-29</v>
      </c>
    </row>
    <row r="133" spans="1:15">
      <c r="A133" t="s">
        <v>162</v>
      </c>
      <c r="B133" t="s">
        <v>21</v>
      </c>
      <c r="C133" t="s">
        <v>22</v>
      </c>
      <c r="D133" t="s">
        <v>18</v>
      </c>
      <c r="E133" s="1">
        <v>45678</v>
      </c>
      <c r="F133" s="3">
        <v>1616</v>
      </c>
      <c r="G133" s="3">
        <v>2</v>
      </c>
      <c r="H133">
        <v>4.21</v>
      </c>
      <c r="I133" s="2">
        <v>1732.46</v>
      </c>
      <c r="J133" s="2">
        <v>2135.62</v>
      </c>
      <c r="K133">
        <v>75.599999999999994</v>
      </c>
      <c r="L133" t="s">
        <v>29</v>
      </c>
      <c r="M133">
        <f>MONTH(Manufacturing[[#This Row],[Production Date]])</f>
        <v>1</v>
      </c>
      <c r="N133">
        <f>YEAR(Manufacturing[[#This Row],[Production Date]])</f>
        <v>2025</v>
      </c>
      <c r="O133" t="str">
        <f t="shared" si="2"/>
        <v>0-9</v>
      </c>
    </row>
    <row r="134" spans="1:15">
      <c r="A134" t="s">
        <v>163</v>
      </c>
      <c r="B134" t="s">
        <v>36</v>
      </c>
      <c r="C134" t="s">
        <v>17</v>
      </c>
      <c r="D134" t="s">
        <v>23</v>
      </c>
      <c r="E134" s="1">
        <v>45795</v>
      </c>
      <c r="F134" s="3">
        <v>3744</v>
      </c>
      <c r="G134" s="3">
        <v>27</v>
      </c>
      <c r="H134">
        <v>6.77</v>
      </c>
      <c r="I134" s="2">
        <v>14999.75</v>
      </c>
      <c r="J134" s="2">
        <v>22489.54</v>
      </c>
      <c r="K134">
        <v>93.47</v>
      </c>
      <c r="L134" t="s">
        <v>37</v>
      </c>
      <c r="M134">
        <f>MONTH(Manufacturing[[#This Row],[Production Date]])</f>
        <v>5</v>
      </c>
      <c r="N134">
        <f>YEAR(Manufacturing[[#This Row],[Production Date]])</f>
        <v>2025</v>
      </c>
      <c r="O134" t="str">
        <f t="shared" si="2"/>
        <v>20-29</v>
      </c>
    </row>
    <row r="135" spans="1:15">
      <c r="A135" t="s">
        <v>164</v>
      </c>
      <c r="B135" t="s">
        <v>21</v>
      </c>
      <c r="C135" t="s">
        <v>32</v>
      </c>
      <c r="D135" t="s">
        <v>27</v>
      </c>
      <c r="E135" s="1">
        <v>45852</v>
      </c>
      <c r="F135" s="3">
        <v>2725</v>
      </c>
      <c r="G135" s="3">
        <v>37</v>
      </c>
      <c r="H135">
        <v>5.0199999999999996</v>
      </c>
      <c r="I135" s="2">
        <v>42277.56</v>
      </c>
      <c r="J135" s="2">
        <v>63280.46</v>
      </c>
      <c r="K135">
        <v>96.07</v>
      </c>
      <c r="L135" t="s">
        <v>19</v>
      </c>
      <c r="M135">
        <f>MONTH(Manufacturing[[#This Row],[Production Date]])</f>
        <v>7</v>
      </c>
      <c r="N135">
        <f>YEAR(Manufacturing[[#This Row],[Production Date]])</f>
        <v>2025</v>
      </c>
      <c r="O135" t="str">
        <f t="shared" si="2"/>
        <v>30-39</v>
      </c>
    </row>
    <row r="136" spans="1:15">
      <c r="A136" t="s">
        <v>165</v>
      </c>
      <c r="B136" t="s">
        <v>26</v>
      </c>
      <c r="C136" t="s">
        <v>32</v>
      </c>
      <c r="D136" t="s">
        <v>27</v>
      </c>
      <c r="E136" s="1">
        <v>45796</v>
      </c>
      <c r="F136" s="3">
        <v>2126</v>
      </c>
      <c r="G136" s="3">
        <v>14</v>
      </c>
      <c r="H136">
        <v>2.35</v>
      </c>
      <c r="I136" s="2">
        <v>38315.800000000003</v>
      </c>
      <c r="J136" s="2">
        <v>47488.12</v>
      </c>
      <c r="K136">
        <v>97.33</v>
      </c>
      <c r="L136" t="s">
        <v>29</v>
      </c>
      <c r="M136">
        <f>MONTH(Manufacturing[[#This Row],[Production Date]])</f>
        <v>5</v>
      </c>
      <c r="N136">
        <f>YEAR(Manufacturing[[#This Row],[Production Date]])</f>
        <v>2025</v>
      </c>
      <c r="O136" t="str">
        <f t="shared" si="2"/>
        <v>10-19</v>
      </c>
    </row>
    <row r="137" spans="1:15">
      <c r="A137" t="s">
        <v>166</v>
      </c>
      <c r="B137" t="s">
        <v>36</v>
      </c>
      <c r="C137" t="s">
        <v>22</v>
      </c>
      <c r="D137" t="s">
        <v>27</v>
      </c>
      <c r="E137" s="1">
        <v>45954</v>
      </c>
      <c r="F137" s="3">
        <v>977</v>
      </c>
      <c r="G137" s="3">
        <v>1</v>
      </c>
      <c r="H137">
        <v>7.88</v>
      </c>
      <c r="I137" s="2">
        <v>8653.1</v>
      </c>
      <c r="J137" s="2">
        <v>10600.46</v>
      </c>
      <c r="K137">
        <v>75.569999999999993</v>
      </c>
      <c r="L137" t="s">
        <v>33</v>
      </c>
      <c r="M137">
        <f>MONTH(Manufacturing[[#This Row],[Production Date]])</f>
        <v>10</v>
      </c>
      <c r="N137">
        <f>YEAR(Manufacturing[[#This Row],[Production Date]])</f>
        <v>2025</v>
      </c>
      <c r="O137" t="str">
        <f t="shared" si="2"/>
        <v>0-9</v>
      </c>
    </row>
    <row r="138" spans="1:15">
      <c r="A138" t="s">
        <v>167</v>
      </c>
      <c r="B138" t="s">
        <v>16</v>
      </c>
      <c r="C138" t="s">
        <v>17</v>
      </c>
      <c r="D138" t="s">
        <v>18</v>
      </c>
      <c r="E138" s="1">
        <v>45618</v>
      </c>
      <c r="F138" s="3">
        <v>4500</v>
      </c>
      <c r="G138" s="3">
        <v>2</v>
      </c>
      <c r="H138">
        <v>2.5</v>
      </c>
      <c r="I138" s="2">
        <v>26648.18</v>
      </c>
      <c r="J138" s="2">
        <v>35689.040000000001</v>
      </c>
      <c r="K138">
        <v>96.42</v>
      </c>
      <c r="L138" t="s">
        <v>29</v>
      </c>
      <c r="M138">
        <f>MONTH(Manufacturing[[#This Row],[Production Date]])</f>
        <v>11</v>
      </c>
      <c r="N138">
        <f>YEAR(Manufacturing[[#This Row],[Production Date]])</f>
        <v>2024</v>
      </c>
      <c r="O138" t="str">
        <f t="shared" si="2"/>
        <v>0-9</v>
      </c>
    </row>
    <row r="139" spans="1:15">
      <c r="A139" t="s">
        <v>168</v>
      </c>
      <c r="B139" t="s">
        <v>26</v>
      </c>
      <c r="C139" t="s">
        <v>22</v>
      </c>
      <c r="D139" t="s">
        <v>27</v>
      </c>
      <c r="E139" s="1">
        <v>45697</v>
      </c>
      <c r="F139" s="3">
        <v>2229</v>
      </c>
      <c r="G139" s="3">
        <v>28</v>
      </c>
      <c r="H139">
        <v>5.51</v>
      </c>
      <c r="I139" s="2">
        <v>25373.02</v>
      </c>
      <c r="J139" s="2">
        <v>29684.41</v>
      </c>
      <c r="K139">
        <v>79.47</v>
      </c>
      <c r="L139" t="s">
        <v>33</v>
      </c>
      <c r="M139">
        <f>MONTH(Manufacturing[[#This Row],[Production Date]])</f>
        <v>2</v>
      </c>
      <c r="N139">
        <f>YEAR(Manufacturing[[#This Row],[Production Date]])</f>
        <v>2025</v>
      </c>
      <c r="O139" t="str">
        <f t="shared" si="2"/>
        <v>20-29</v>
      </c>
    </row>
    <row r="140" spans="1:15">
      <c r="A140" t="s">
        <v>169</v>
      </c>
      <c r="B140" t="s">
        <v>36</v>
      </c>
      <c r="C140" t="s">
        <v>17</v>
      </c>
      <c r="D140" t="s">
        <v>18</v>
      </c>
      <c r="E140" s="1">
        <v>45828</v>
      </c>
      <c r="F140" s="3">
        <v>1831</v>
      </c>
      <c r="G140" s="3">
        <v>10</v>
      </c>
      <c r="H140">
        <v>6.57</v>
      </c>
      <c r="I140" s="2">
        <v>28536.92</v>
      </c>
      <c r="J140" s="2">
        <v>32118.23</v>
      </c>
      <c r="K140">
        <v>82.77</v>
      </c>
      <c r="L140" t="s">
        <v>37</v>
      </c>
      <c r="M140">
        <f>MONTH(Manufacturing[[#This Row],[Production Date]])</f>
        <v>6</v>
      </c>
      <c r="N140">
        <f>YEAR(Manufacturing[[#This Row],[Production Date]])</f>
        <v>2025</v>
      </c>
      <c r="O140" t="str">
        <f t="shared" si="2"/>
        <v>10-19</v>
      </c>
    </row>
    <row r="141" spans="1:15">
      <c r="A141" t="s">
        <v>170</v>
      </c>
      <c r="B141" t="s">
        <v>31</v>
      </c>
      <c r="C141" t="s">
        <v>22</v>
      </c>
      <c r="D141" t="s">
        <v>27</v>
      </c>
      <c r="E141" s="1">
        <v>45651</v>
      </c>
      <c r="F141" s="3">
        <v>1197</v>
      </c>
      <c r="G141" s="3">
        <v>44</v>
      </c>
      <c r="H141">
        <v>9.1199999999999992</v>
      </c>
      <c r="I141" s="2">
        <v>48569.440000000002</v>
      </c>
      <c r="J141" s="2">
        <v>69332.81</v>
      </c>
      <c r="K141">
        <v>72.97</v>
      </c>
      <c r="L141" t="s">
        <v>37</v>
      </c>
      <c r="M141">
        <f>MONTH(Manufacturing[[#This Row],[Production Date]])</f>
        <v>12</v>
      </c>
      <c r="N141">
        <f>YEAR(Manufacturing[[#This Row],[Production Date]])</f>
        <v>2024</v>
      </c>
      <c r="O141" t="str">
        <f t="shared" si="2"/>
        <v>40-49</v>
      </c>
    </row>
    <row r="142" spans="1:15">
      <c r="A142" t="s">
        <v>171</v>
      </c>
      <c r="B142" t="s">
        <v>36</v>
      </c>
      <c r="C142" t="s">
        <v>22</v>
      </c>
      <c r="D142" t="s">
        <v>23</v>
      </c>
      <c r="E142" s="1">
        <v>45736</v>
      </c>
      <c r="F142" s="3">
        <v>2982</v>
      </c>
      <c r="G142" s="3">
        <v>43</v>
      </c>
      <c r="H142">
        <v>4.58</v>
      </c>
      <c r="I142" s="2">
        <v>23401.5</v>
      </c>
      <c r="J142" s="2">
        <v>28042.27</v>
      </c>
      <c r="K142">
        <v>94.34</v>
      </c>
      <c r="L142" t="s">
        <v>24</v>
      </c>
      <c r="M142">
        <f>MONTH(Manufacturing[[#This Row],[Production Date]])</f>
        <v>3</v>
      </c>
      <c r="N142">
        <f>YEAR(Manufacturing[[#This Row],[Production Date]])</f>
        <v>2025</v>
      </c>
      <c r="O142" t="str">
        <f t="shared" si="2"/>
        <v>40-49</v>
      </c>
    </row>
    <row r="143" spans="1:15">
      <c r="A143" t="s">
        <v>172</v>
      </c>
      <c r="B143" t="s">
        <v>31</v>
      </c>
      <c r="C143" t="s">
        <v>32</v>
      </c>
      <c r="D143" t="s">
        <v>27</v>
      </c>
      <c r="E143" s="1">
        <v>45665</v>
      </c>
      <c r="F143" s="3">
        <v>1428</v>
      </c>
      <c r="G143" s="3">
        <v>8</v>
      </c>
      <c r="H143">
        <v>1.1200000000000001</v>
      </c>
      <c r="I143" s="2">
        <v>17264.91</v>
      </c>
      <c r="J143" s="2">
        <v>20976.06</v>
      </c>
      <c r="K143">
        <v>81.239999999999995</v>
      </c>
      <c r="L143" t="s">
        <v>24</v>
      </c>
      <c r="M143">
        <f>MONTH(Manufacturing[[#This Row],[Production Date]])</f>
        <v>1</v>
      </c>
      <c r="N143">
        <f>YEAR(Manufacturing[[#This Row],[Production Date]])</f>
        <v>2025</v>
      </c>
      <c r="O143" t="str">
        <f t="shared" si="2"/>
        <v>0-9</v>
      </c>
    </row>
    <row r="144" spans="1:15">
      <c r="A144" t="s">
        <v>173</v>
      </c>
      <c r="B144" t="s">
        <v>16</v>
      </c>
      <c r="C144" t="s">
        <v>22</v>
      </c>
      <c r="D144" t="s">
        <v>23</v>
      </c>
      <c r="E144" s="1">
        <v>45757</v>
      </c>
      <c r="F144" s="3">
        <v>930</v>
      </c>
      <c r="G144" s="3">
        <v>4</v>
      </c>
      <c r="H144">
        <v>2.08</v>
      </c>
      <c r="I144" s="2">
        <v>44111.8</v>
      </c>
      <c r="J144" s="2">
        <v>59392.62</v>
      </c>
      <c r="K144">
        <v>83.59</v>
      </c>
      <c r="L144" t="s">
        <v>33</v>
      </c>
      <c r="M144">
        <f>MONTH(Manufacturing[[#This Row],[Production Date]])</f>
        <v>4</v>
      </c>
      <c r="N144">
        <f>YEAR(Manufacturing[[#This Row],[Production Date]])</f>
        <v>2025</v>
      </c>
      <c r="O144" t="str">
        <f t="shared" si="2"/>
        <v>0-9</v>
      </c>
    </row>
    <row r="145" spans="1:15">
      <c r="A145" t="s">
        <v>174</v>
      </c>
      <c r="B145" t="s">
        <v>26</v>
      </c>
      <c r="C145" t="s">
        <v>17</v>
      </c>
      <c r="D145" t="s">
        <v>23</v>
      </c>
      <c r="E145" s="1">
        <v>45680</v>
      </c>
      <c r="F145" s="3">
        <v>4101</v>
      </c>
      <c r="G145" s="3">
        <v>31</v>
      </c>
      <c r="H145">
        <v>6.32</v>
      </c>
      <c r="I145" s="2">
        <v>48220.98</v>
      </c>
      <c r="J145" s="2">
        <v>68075.039999999994</v>
      </c>
      <c r="K145">
        <v>77.66</v>
      </c>
      <c r="L145" t="s">
        <v>33</v>
      </c>
      <c r="M145">
        <f>MONTH(Manufacturing[[#This Row],[Production Date]])</f>
        <v>1</v>
      </c>
      <c r="N145">
        <f>YEAR(Manufacturing[[#This Row],[Production Date]])</f>
        <v>2025</v>
      </c>
      <c r="O145" t="str">
        <f t="shared" si="2"/>
        <v>30-39</v>
      </c>
    </row>
    <row r="146" spans="1:15">
      <c r="A146" t="s">
        <v>175</v>
      </c>
      <c r="B146" t="s">
        <v>16</v>
      </c>
      <c r="C146" t="s">
        <v>17</v>
      </c>
      <c r="D146" t="s">
        <v>27</v>
      </c>
      <c r="E146" s="1">
        <v>45892</v>
      </c>
      <c r="F146" s="3">
        <v>3402</v>
      </c>
      <c r="G146" s="3">
        <v>1</v>
      </c>
      <c r="H146">
        <v>2.54</v>
      </c>
      <c r="I146" s="2">
        <v>31818.69</v>
      </c>
      <c r="J146" s="2">
        <v>42153.03</v>
      </c>
      <c r="K146">
        <v>98.9</v>
      </c>
      <c r="L146" t="s">
        <v>29</v>
      </c>
      <c r="M146">
        <f>MONTH(Manufacturing[[#This Row],[Production Date]])</f>
        <v>8</v>
      </c>
      <c r="N146">
        <f>YEAR(Manufacturing[[#This Row],[Production Date]])</f>
        <v>2025</v>
      </c>
      <c r="O146" t="str">
        <f t="shared" si="2"/>
        <v>0-9</v>
      </c>
    </row>
    <row r="147" spans="1:15">
      <c r="A147" t="s">
        <v>176</v>
      </c>
      <c r="B147" t="s">
        <v>16</v>
      </c>
      <c r="C147" t="s">
        <v>17</v>
      </c>
      <c r="D147" t="s">
        <v>27</v>
      </c>
      <c r="E147" s="1">
        <v>45941</v>
      </c>
      <c r="F147" s="3">
        <v>3617</v>
      </c>
      <c r="G147" s="3">
        <v>8</v>
      </c>
      <c r="H147">
        <v>3.15</v>
      </c>
      <c r="I147" s="2">
        <v>38077.5</v>
      </c>
      <c r="J147" s="2">
        <v>55550.53</v>
      </c>
      <c r="K147">
        <v>75.64</v>
      </c>
      <c r="L147" t="s">
        <v>29</v>
      </c>
      <c r="M147">
        <f>MONTH(Manufacturing[[#This Row],[Production Date]])</f>
        <v>10</v>
      </c>
      <c r="N147">
        <f>YEAR(Manufacturing[[#This Row],[Production Date]])</f>
        <v>2025</v>
      </c>
      <c r="O147" t="str">
        <f t="shared" si="2"/>
        <v>0-9</v>
      </c>
    </row>
    <row r="148" spans="1:15">
      <c r="A148" t="s">
        <v>177</v>
      </c>
      <c r="B148" t="s">
        <v>31</v>
      </c>
      <c r="C148" t="s">
        <v>17</v>
      </c>
      <c r="D148" t="s">
        <v>27</v>
      </c>
      <c r="E148" s="1">
        <v>45707</v>
      </c>
      <c r="F148" s="3">
        <v>2408</v>
      </c>
      <c r="G148" s="3">
        <v>47</v>
      </c>
      <c r="H148">
        <v>7.28</v>
      </c>
      <c r="I148" s="2">
        <v>6253.21</v>
      </c>
      <c r="J148" s="2">
        <v>7879.67</v>
      </c>
      <c r="K148">
        <v>81.87</v>
      </c>
      <c r="L148" t="s">
        <v>33</v>
      </c>
      <c r="M148">
        <f>MONTH(Manufacturing[[#This Row],[Production Date]])</f>
        <v>2</v>
      </c>
      <c r="N148">
        <f>YEAR(Manufacturing[[#This Row],[Production Date]])</f>
        <v>2025</v>
      </c>
      <c r="O148" t="str">
        <f t="shared" si="2"/>
        <v>40-49</v>
      </c>
    </row>
    <row r="149" spans="1:15">
      <c r="A149" t="s">
        <v>178</v>
      </c>
      <c r="B149" t="s">
        <v>21</v>
      </c>
      <c r="C149" t="s">
        <v>22</v>
      </c>
      <c r="D149" t="s">
        <v>18</v>
      </c>
      <c r="E149" s="1">
        <v>45801</v>
      </c>
      <c r="F149" s="3">
        <v>4385</v>
      </c>
      <c r="G149" s="3">
        <v>29</v>
      </c>
      <c r="H149">
        <v>9.24</v>
      </c>
      <c r="I149" s="2">
        <v>28929.4</v>
      </c>
      <c r="J149" s="2">
        <v>36324.879999999997</v>
      </c>
      <c r="K149">
        <v>71.61</v>
      </c>
      <c r="L149" t="s">
        <v>37</v>
      </c>
      <c r="M149">
        <f>MONTH(Manufacturing[[#This Row],[Production Date]])</f>
        <v>5</v>
      </c>
      <c r="N149">
        <f>YEAR(Manufacturing[[#This Row],[Production Date]])</f>
        <v>2025</v>
      </c>
      <c r="O149" t="str">
        <f t="shared" si="2"/>
        <v>20-29</v>
      </c>
    </row>
    <row r="150" spans="1:15">
      <c r="A150" t="s">
        <v>179</v>
      </c>
      <c r="B150" t="s">
        <v>36</v>
      </c>
      <c r="C150" t="s">
        <v>32</v>
      </c>
      <c r="D150" t="s">
        <v>23</v>
      </c>
      <c r="E150" s="1">
        <v>45754</v>
      </c>
      <c r="F150" s="3">
        <v>784</v>
      </c>
      <c r="G150" s="3">
        <v>25</v>
      </c>
      <c r="H150">
        <v>9.5500000000000007</v>
      </c>
      <c r="I150" s="2">
        <v>49320.6</v>
      </c>
      <c r="J150" s="2">
        <v>73733.440000000002</v>
      </c>
      <c r="K150">
        <v>73.37</v>
      </c>
      <c r="L150" t="s">
        <v>24</v>
      </c>
      <c r="M150">
        <f>MONTH(Manufacturing[[#This Row],[Production Date]])</f>
        <v>4</v>
      </c>
      <c r="N150">
        <f>YEAR(Manufacturing[[#This Row],[Production Date]])</f>
        <v>2025</v>
      </c>
      <c r="O150" t="str">
        <f t="shared" si="2"/>
        <v>20-29</v>
      </c>
    </row>
    <row r="151" spans="1:15">
      <c r="A151" t="s">
        <v>180</v>
      </c>
      <c r="B151" t="s">
        <v>26</v>
      </c>
      <c r="C151" t="s">
        <v>17</v>
      </c>
      <c r="D151" t="s">
        <v>18</v>
      </c>
      <c r="E151" s="1">
        <v>45632</v>
      </c>
      <c r="F151" s="3">
        <v>2019</v>
      </c>
      <c r="G151" s="3">
        <v>21</v>
      </c>
      <c r="H151">
        <v>6.26</v>
      </c>
      <c r="I151" s="2">
        <v>36636.449999999997</v>
      </c>
      <c r="J151" s="2">
        <v>53422.66</v>
      </c>
      <c r="K151">
        <v>89.81</v>
      </c>
      <c r="L151" t="s">
        <v>24</v>
      </c>
      <c r="M151">
        <f>MONTH(Manufacturing[[#This Row],[Production Date]])</f>
        <v>12</v>
      </c>
      <c r="N151">
        <f>YEAR(Manufacturing[[#This Row],[Production Date]])</f>
        <v>2024</v>
      </c>
      <c r="O151" t="str">
        <f t="shared" si="2"/>
        <v>20-29</v>
      </c>
    </row>
    <row r="152" spans="1:15">
      <c r="A152" t="s">
        <v>181</v>
      </c>
      <c r="B152" t="s">
        <v>26</v>
      </c>
      <c r="C152" t="s">
        <v>17</v>
      </c>
      <c r="D152" t="s">
        <v>18</v>
      </c>
      <c r="E152" s="1">
        <v>45824</v>
      </c>
      <c r="F152" s="3">
        <v>3692</v>
      </c>
      <c r="G152" s="3">
        <v>48</v>
      </c>
      <c r="H152">
        <v>5.8</v>
      </c>
      <c r="I152" s="2">
        <v>24954.94</v>
      </c>
      <c r="J152" s="2">
        <v>29871.79</v>
      </c>
      <c r="K152">
        <v>97.66</v>
      </c>
      <c r="L152" t="s">
        <v>33</v>
      </c>
      <c r="M152">
        <f>MONTH(Manufacturing[[#This Row],[Production Date]])</f>
        <v>6</v>
      </c>
      <c r="N152">
        <f>YEAR(Manufacturing[[#This Row],[Production Date]])</f>
        <v>2025</v>
      </c>
      <c r="O152" t="str">
        <f t="shared" si="2"/>
        <v>40-49</v>
      </c>
    </row>
    <row r="153" spans="1:15">
      <c r="A153" t="s">
        <v>182</v>
      </c>
      <c r="B153" t="s">
        <v>31</v>
      </c>
      <c r="C153" t="s">
        <v>32</v>
      </c>
      <c r="D153" t="s">
        <v>27</v>
      </c>
      <c r="E153" s="1">
        <v>45769</v>
      </c>
      <c r="F153" s="3">
        <v>3485</v>
      </c>
      <c r="G153" s="3">
        <v>20</v>
      </c>
      <c r="H153">
        <v>3.13</v>
      </c>
      <c r="I153" s="2">
        <v>24314.94</v>
      </c>
      <c r="J153" s="2">
        <v>32742.47</v>
      </c>
      <c r="K153">
        <v>86.48</v>
      </c>
      <c r="L153" t="s">
        <v>37</v>
      </c>
      <c r="M153">
        <f>MONTH(Manufacturing[[#This Row],[Production Date]])</f>
        <v>4</v>
      </c>
      <c r="N153">
        <f>YEAR(Manufacturing[[#This Row],[Production Date]])</f>
        <v>2025</v>
      </c>
      <c r="O153" t="str">
        <f t="shared" si="2"/>
        <v>20-29</v>
      </c>
    </row>
    <row r="154" spans="1:15">
      <c r="A154" t="s">
        <v>183</v>
      </c>
      <c r="B154" t="s">
        <v>21</v>
      </c>
      <c r="C154" t="s">
        <v>17</v>
      </c>
      <c r="D154" t="s">
        <v>18</v>
      </c>
      <c r="E154" s="1">
        <v>45934</v>
      </c>
      <c r="F154" s="3">
        <v>2907</v>
      </c>
      <c r="G154" s="3">
        <v>6</v>
      </c>
      <c r="H154">
        <v>2.9</v>
      </c>
      <c r="I154" s="2">
        <v>8252.5499999999993</v>
      </c>
      <c r="J154" s="2">
        <v>9948.9599999999991</v>
      </c>
      <c r="K154">
        <v>70.91</v>
      </c>
      <c r="L154" t="s">
        <v>24</v>
      </c>
      <c r="M154">
        <f>MONTH(Manufacturing[[#This Row],[Production Date]])</f>
        <v>10</v>
      </c>
      <c r="N154">
        <f>YEAR(Manufacturing[[#This Row],[Production Date]])</f>
        <v>2025</v>
      </c>
      <c r="O154" t="str">
        <f t="shared" si="2"/>
        <v>0-9</v>
      </c>
    </row>
    <row r="155" spans="1:15">
      <c r="A155" t="s">
        <v>184</v>
      </c>
      <c r="B155" t="s">
        <v>31</v>
      </c>
      <c r="C155" t="s">
        <v>32</v>
      </c>
      <c r="D155" t="s">
        <v>18</v>
      </c>
      <c r="E155" s="1">
        <v>45919</v>
      </c>
      <c r="F155" s="3">
        <v>3010</v>
      </c>
      <c r="G155" s="3">
        <v>48</v>
      </c>
      <c r="H155">
        <v>6.27</v>
      </c>
      <c r="I155" s="2">
        <v>42497.78</v>
      </c>
      <c r="J155" s="2">
        <v>63702.39</v>
      </c>
      <c r="K155">
        <v>86.45</v>
      </c>
      <c r="L155" t="s">
        <v>29</v>
      </c>
      <c r="M155">
        <f>MONTH(Manufacturing[[#This Row],[Production Date]])</f>
        <v>9</v>
      </c>
      <c r="N155">
        <f>YEAR(Manufacturing[[#This Row],[Production Date]])</f>
        <v>2025</v>
      </c>
      <c r="O155" t="str">
        <f t="shared" si="2"/>
        <v>40-49</v>
      </c>
    </row>
    <row r="156" spans="1:15">
      <c r="A156" t="s">
        <v>185</v>
      </c>
      <c r="B156" t="s">
        <v>26</v>
      </c>
      <c r="C156" t="s">
        <v>17</v>
      </c>
      <c r="D156" t="s">
        <v>27</v>
      </c>
      <c r="E156" s="1">
        <v>45756</v>
      </c>
      <c r="F156" s="3">
        <v>1928</v>
      </c>
      <c r="G156" s="3">
        <v>40</v>
      </c>
      <c r="H156">
        <v>3.26</v>
      </c>
      <c r="I156" s="2">
        <v>17262.86</v>
      </c>
      <c r="J156" s="2">
        <v>20936.79</v>
      </c>
      <c r="K156">
        <v>79.03</v>
      </c>
      <c r="L156" t="s">
        <v>33</v>
      </c>
      <c r="M156">
        <f>MONTH(Manufacturing[[#This Row],[Production Date]])</f>
        <v>4</v>
      </c>
      <c r="N156">
        <f>YEAR(Manufacturing[[#This Row],[Production Date]])</f>
        <v>2025</v>
      </c>
      <c r="O156" t="str">
        <f t="shared" si="2"/>
        <v>40-49</v>
      </c>
    </row>
    <row r="157" spans="1:15">
      <c r="A157" t="s">
        <v>186</v>
      </c>
      <c r="B157" t="s">
        <v>36</v>
      </c>
      <c r="C157" t="s">
        <v>17</v>
      </c>
      <c r="D157" t="s">
        <v>23</v>
      </c>
      <c r="E157" s="1">
        <v>45690</v>
      </c>
      <c r="F157" s="3">
        <v>4019</v>
      </c>
      <c r="G157" s="3">
        <v>9</v>
      </c>
      <c r="H157">
        <v>1.17</v>
      </c>
      <c r="I157" s="2">
        <v>27521.9</v>
      </c>
      <c r="J157" s="2">
        <v>38720.21</v>
      </c>
      <c r="K157">
        <v>80.28</v>
      </c>
      <c r="L157" t="s">
        <v>24</v>
      </c>
      <c r="M157">
        <f>MONTH(Manufacturing[[#This Row],[Production Date]])</f>
        <v>2</v>
      </c>
      <c r="N157">
        <f>YEAR(Manufacturing[[#This Row],[Production Date]])</f>
        <v>2025</v>
      </c>
      <c r="O157" t="str">
        <f t="shared" si="2"/>
        <v>0-9</v>
      </c>
    </row>
    <row r="158" spans="1:15">
      <c r="A158" t="s">
        <v>187</v>
      </c>
      <c r="B158" t="s">
        <v>16</v>
      </c>
      <c r="C158" t="s">
        <v>22</v>
      </c>
      <c r="D158" t="s">
        <v>23</v>
      </c>
      <c r="E158" s="1">
        <v>45855</v>
      </c>
      <c r="F158" s="3">
        <v>3964</v>
      </c>
      <c r="G158" s="3">
        <v>22</v>
      </c>
      <c r="H158">
        <v>0.97</v>
      </c>
      <c r="I158" s="2">
        <v>11993.42</v>
      </c>
      <c r="J158" s="2">
        <v>17684.09</v>
      </c>
      <c r="K158">
        <v>99.24</v>
      </c>
      <c r="L158" t="s">
        <v>37</v>
      </c>
      <c r="M158">
        <f>MONTH(Manufacturing[[#This Row],[Production Date]])</f>
        <v>7</v>
      </c>
      <c r="N158">
        <f>YEAR(Manufacturing[[#This Row],[Production Date]])</f>
        <v>2025</v>
      </c>
      <c r="O158" t="str">
        <f t="shared" si="2"/>
        <v>20-29</v>
      </c>
    </row>
    <row r="159" spans="1:15">
      <c r="A159" t="s">
        <v>188</v>
      </c>
      <c r="B159" t="s">
        <v>21</v>
      </c>
      <c r="C159" t="s">
        <v>17</v>
      </c>
      <c r="D159" t="s">
        <v>23</v>
      </c>
      <c r="E159" s="1">
        <v>45698</v>
      </c>
      <c r="F159" s="3">
        <v>2657</v>
      </c>
      <c r="G159" s="3">
        <v>6</v>
      </c>
      <c r="H159">
        <v>9.0299999999999994</v>
      </c>
      <c r="I159" s="2">
        <v>14795.22</v>
      </c>
      <c r="J159" s="2">
        <v>20538.3</v>
      </c>
      <c r="K159">
        <v>70.8</v>
      </c>
      <c r="L159" t="s">
        <v>29</v>
      </c>
      <c r="M159">
        <f>MONTH(Manufacturing[[#This Row],[Production Date]])</f>
        <v>2</v>
      </c>
      <c r="N159">
        <f>YEAR(Manufacturing[[#This Row],[Production Date]])</f>
        <v>2025</v>
      </c>
      <c r="O159" t="str">
        <f t="shared" si="2"/>
        <v>0-9</v>
      </c>
    </row>
    <row r="160" spans="1:15">
      <c r="A160" t="s">
        <v>189</v>
      </c>
      <c r="B160" t="s">
        <v>36</v>
      </c>
      <c r="C160" t="s">
        <v>32</v>
      </c>
      <c r="D160" t="s">
        <v>27</v>
      </c>
      <c r="E160" s="1">
        <v>45666</v>
      </c>
      <c r="F160" s="3">
        <v>4577</v>
      </c>
      <c r="G160" s="3">
        <v>26</v>
      </c>
      <c r="H160">
        <v>5</v>
      </c>
      <c r="I160" s="2">
        <v>12023.3</v>
      </c>
      <c r="J160" s="2">
        <v>13811.5</v>
      </c>
      <c r="K160">
        <v>98.87</v>
      </c>
      <c r="L160" t="s">
        <v>37</v>
      </c>
      <c r="M160">
        <f>MONTH(Manufacturing[[#This Row],[Production Date]])</f>
        <v>1</v>
      </c>
      <c r="N160">
        <f>YEAR(Manufacturing[[#This Row],[Production Date]])</f>
        <v>2025</v>
      </c>
      <c r="O160" t="str">
        <f t="shared" si="2"/>
        <v>20-29</v>
      </c>
    </row>
    <row r="161" spans="1:15">
      <c r="A161" t="s">
        <v>190</v>
      </c>
      <c r="B161" t="s">
        <v>26</v>
      </c>
      <c r="C161" t="s">
        <v>17</v>
      </c>
      <c r="D161" t="s">
        <v>27</v>
      </c>
      <c r="E161" s="1">
        <v>45825</v>
      </c>
      <c r="F161" s="3">
        <v>3985</v>
      </c>
      <c r="G161" s="3">
        <v>23</v>
      </c>
      <c r="H161">
        <v>5.57</v>
      </c>
      <c r="I161" s="2">
        <v>28916.54</v>
      </c>
      <c r="J161" s="2">
        <v>42613.440000000002</v>
      </c>
      <c r="K161">
        <v>93.71</v>
      </c>
      <c r="L161" t="s">
        <v>29</v>
      </c>
      <c r="M161">
        <f>MONTH(Manufacturing[[#This Row],[Production Date]])</f>
        <v>6</v>
      </c>
      <c r="N161">
        <f>YEAR(Manufacturing[[#This Row],[Production Date]])</f>
        <v>2025</v>
      </c>
      <c r="O161" t="str">
        <f t="shared" si="2"/>
        <v>20-29</v>
      </c>
    </row>
    <row r="162" spans="1:15">
      <c r="A162" t="s">
        <v>191</v>
      </c>
      <c r="B162" t="s">
        <v>36</v>
      </c>
      <c r="C162" t="s">
        <v>22</v>
      </c>
      <c r="D162" t="s">
        <v>18</v>
      </c>
      <c r="E162" s="1">
        <v>45770</v>
      </c>
      <c r="F162" s="3">
        <v>4619</v>
      </c>
      <c r="G162" s="3">
        <v>50</v>
      </c>
      <c r="H162">
        <v>9.74</v>
      </c>
      <c r="I162" s="2">
        <v>37738.46</v>
      </c>
      <c r="J162" s="2">
        <v>42787.51</v>
      </c>
      <c r="K162">
        <v>94.19</v>
      </c>
      <c r="L162" t="s">
        <v>33</v>
      </c>
      <c r="M162">
        <f>MONTH(Manufacturing[[#This Row],[Production Date]])</f>
        <v>4</v>
      </c>
      <c r="N162">
        <f>YEAR(Manufacturing[[#This Row],[Production Date]])</f>
        <v>2025</v>
      </c>
      <c r="O162" t="str">
        <f t="shared" si="2"/>
        <v>50+</v>
      </c>
    </row>
    <row r="163" spans="1:15">
      <c r="A163" t="s">
        <v>192</v>
      </c>
      <c r="B163" t="s">
        <v>21</v>
      </c>
      <c r="C163" t="s">
        <v>17</v>
      </c>
      <c r="D163" t="s">
        <v>23</v>
      </c>
      <c r="E163" s="1">
        <v>45687</v>
      </c>
      <c r="F163" s="3">
        <v>2624</v>
      </c>
      <c r="G163" s="3">
        <v>38</v>
      </c>
      <c r="H163">
        <v>5.34</v>
      </c>
      <c r="I163" s="2">
        <v>46690.34</v>
      </c>
      <c r="J163" s="2">
        <v>58292.23</v>
      </c>
      <c r="K163">
        <v>77.290000000000006</v>
      </c>
      <c r="L163" t="s">
        <v>29</v>
      </c>
      <c r="M163">
        <f>MONTH(Manufacturing[[#This Row],[Production Date]])</f>
        <v>1</v>
      </c>
      <c r="N163">
        <f>YEAR(Manufacturing[[#This Row],[Production Date]])</f>
        <v>2025</v>
      </c>
      <c r="O163" t="str">
        <f t="shared" si="2"/>
        <v>30-39</v>
      </c>
    </row>
    <row r="164" spans="1:15">
      <c r="A164" t="s">
        <v>193</v>
      </c>
      <c r="B164" t="s">
        <v>26</v>
      </c>
      <c r="C164" t="s">
        <v>17</v>
      </c>
      <c r="D164" t="s">
        <v>27</v>
      </c>
      <c r="E164" s="1">
        <v>45871</v>
      </c>
      <c r="F164" s="3">
        <v>4851</v>
      </c>
      <c r="G164" s="3">
        <v>30</v>
      </c>
      <c r="H164">
        <v>2.37</v>
      </c>
      <c r="I164" s="2">
        <v>8453.6299999999992</v>
      </c>
      <c r="J164" s="2">
        <v>11496.85</v>
      </c>
      <c r="K164">
        <v>82.22</v>
      </c>
      <c r="L164" t="s">
        <v>37</v>
      </c>
      <c r="M164">
        <f>MONTH(Manufacturing[[#This Row],[Production Date]])</f>
        <v>8</v>
      </c>
      <c r="N164">
        <f>YEAR(Manufacturing[[#This Row],[Production Date]])</f>
        <v>2025</v>
      </c>
      <c r="O164" t="str">
        <f t="shared" si="2"/>
        <v>30-39</v>
      </c>
    </row>
    <row r="165" spans="1:15">
      <c r="A165" t="s">
        <v>194</v>
      </c>
      <c r="B165" t="s">
        <v>31</v>
      </c>
      <c r="C165" t="s">
        <v>22</v>
      </c>
      <c r="D165" t="s">
        <v>23</v>
      </c>
      <c r="E165" s="1">
        <v>45656</v>
      </c>
      <c r="F165" s="3">
        <v>4682</v>
      </c>
      <c r="G165" s="3">
        <v>27</v>
      </c>
      <c r="H165">
        <v>0.9</v>
      </c>
      <c r="I165" s="2">
        <v>2854.18</v>
      </c>
      <c r="J165" s="2">
        <v>4208.78</v>
      </c>
      <c r="K165">
        <v>82.73</v>
      </c>
      <c r="L165" t="s">
        <v>29</v>
      </c>
      <c r="M165">
        <f>MONTH(Manufacturing[[#This Row],[Production Date]])</f>
        <v>12</v>
      </c>
      <c r="N165">
        <f>YEAR(Manufacturing[[#This Row],[Production Date]])</f>
        <v>2024</v>
      </c>
      <c r="O165" t="str">
        <f t="shared" si="2"/>
        <v>20-29</v>
      </c>
    </row>
    <row r="166" spans="1:15">
      <c r="A166" t="s">
        <v>195</v>
      </c>
      <c r="B166" t="s">
        <v>31</v>
      </c>
      <c r="C166" t="s">
        <v>22</v>
      </c>
      <c r="D166" t="s">
        <v>18</v>
      </c>
      <c r="E166" s="1">
        <v>45923</v>
      </c>
      <c r="F166" s="3">
        <v>666</v>
      </c>
      <c r="G166" s="3">
        <v>29</v>
      </c>
      <c r="H166">
        <v>9.61</v>
      </c>
      <c r="I166" s="2">
        <v>19022.009999999998</v>
      </c>
      <c r="J166" s="2">
        <v>21214.69</v>
      </c>
      <c r="K166">
        <v>81.56</v>
      </c>
      <c r="L166" t="s">
        <v>29</v>
      </c>
      <c r="M166">
        <f>MONTH(Manufacturing[[#This Row],[Production Date]])</f>
        <v>9</v>
      </c>
      <c r="N166">
        <f>YEAR(Manufacturing[[#This Row],[Production Date]])</f>
        <v>2025</v>
      </c>
      <c r="O166" t="str">
        <f t="shared" si="2"/>
        <v>20-29</v>
      </c>
    </row>
    <row r="167" spans="1:15">
      <c r="A167" t="s">
        <v>196</v>
      </c>
      <c r="B167" t="s">
        <v>21</v>
      </c>
      <c r="C167" t="s">
        <v>17</v>
      </c>
      <c r="D167" t="s">
        <v>18</v>
      </c>
      <c r="E167" s="1">
        <v>45818</v>
      </c>
      <c r="F167" s="3">
        <v>794</v>
      </c>
      <c r="G167" s="3">
        <v>34</v>
      </c>
      <c r="H167">
        <v>1.67</v>
      </c>
      <c r="I167" s="2">
        <v>26909.57</v>
      </c>
      <c r="J167" s="2">
        <v>31061.05</v>
      </c>
      <c r="K167">
        <v>96.39</v>
      </c>
      <c r="L167" t="s">
        <v>37</v>
      </c>
      <c r="M167">
        <f>MONTH(Manufacturing[[#This Row],[Production Date]])</f>
        <v>6</v>
      </c>
      <c r="N167">
        <f>YEAR(Manufacturing[[#This Row],[Production Date]])</f>
        <v>2025</v>
      </c>
      <c r="O167" t="str">
        <f t="shared" si="2"/>
        <v>30-39</v>
      </c>
    </row>
    <row r="168" spans="1:15">
      <c r="A168" t="s">
        <v>197</v>
      </c>
      <c r="B168" t="s">
        <v>36</v>
      </c>
      <c r="C168" t="s">
        <v>22</v>
      </c>
      <c r="D168" t="s">
        <v>27</v>
      </c>
      <c r="E168" s="1">
        <v>45900</v>
      </c>
      <c r="F168" s="3">
        <v>3865</v>
      </c>
      <c r="G168" s="3">
        <v>38</v>
      </c>
      <c r="H168">
        <v>3.41</v>
      </c>
      <c r="I168" s="2">
        <v>44347.6</v>
      </c>
      <c r="J168" s="2">
        <v>51117.13</v>
      </c>
      <c r="K168">
        <v>70.41</v>
      </c>
      <c r="L168" t="s">
        <v>33</v>
      </c>
      <c r="M168">
        <f>MONTH(Manufacturing[[#This Row],[Production Date]])</f>
        <v>8</v>
      </c>
      <c r="N168">
        <f>YEAR(Manufacturing[[#This Row],[Production Date]])</f>
        <v>2025</v>
      </c>
      <c r="O168" t="str">
        <f t="shared" si="2"/>
        <v>30-39</v>
      </c>
    </row>
    <row r="169" spans="1:15">
      <c r="A169" t="s">
        <v>198</v>
      </c>
      <c r="B169" t="s">
        <v>36</v>
      </c>
      <c r="C169" t="s">
        <v>22</v>
      </c>
      <c r="D169" t="s">
        <v>23</v>
      </c>
      <c r="E169" s="1">
        <v>45796</v>
      </c>
      <c r="F169" s="3">
        <v>3456</v>
      </c>
      <c r="G169" s="3">
        <v>48</v>
      </c>
      <c r="H169">
        <v>4.5999999999999996</v>
      </c>
      <c r="I169" s="2">
        <v>36065.129999999997</v>
      </c>
      <c r="J169" s="2">
        <v>47284.75</v>
      </c>
      <c r="K169">
        <v>97.56</v>
      </c>
      <c r="L169" t="s">
        <v>37</v>
      </c>
      <c r="M169">
        <f>MONTH(Manufacturing[[#This Row],[Production Date]])</f>
        <v>5</v>
      </c>
      <c r="N169">
        <f>YEAR(Manufacturing[[#This Row],[Production Date]])</f>
        <v>2025</v>
      </c>
      <c r="O169" t="str">
        <f t="shared" si="2"/>
        <v>40-49</v>
      </c>
    </row>
    <row r="170" spans="1:15">
      <c r="A170" t="s">
        <v>199</v>
      </c>
      <c r="B170" t="s">
        <v>16</v>
      </c>
      <c r="C170" t="s">
        <v>17</v>
      </c>
      <c r="D170" t="s">
        <v>27</v>
      </c>
      <c r="E170" s="1">
        <v>45657</v>
      </c>
      <c r="F170" s="3">
        <v>2207</v>
      </c>
      <c r="G170" s="3">
        <v>26</v>
      </c>
      <c r="H170">
        <v>5.74</v>
      </c>
      <c r="I170" s="2">
        <v>25410.43</v>
      </c>
      <c r="J170" s="2">
        <v>30025.54</v>
      </c>
      <c r="K170">
        <v>81.64</v>
      </c>
      <c r="L170" t="s">
        <v>33</v>
      </c>
      <c r="M170">
        <f>MONTH(Manufacturing[[#This Row],[Production Date]])</f>
        <v>12</v>
      </c>
      <c r="N170">
        <f>YEAR(Manufacturing[[#This Row],[Production Date]])</f>
        <v>2024</v>
      </c>
      <c r="O170" t="str">
        <f t="shared" si="2"/>
        <v>20-29</v>
      </c>
    </row>
    <row r="171" spans="1:15">
      <c r="A171" t="s">
        <v>200</v>
      </c>
      <c r="B171" t="s">
        <v>26</v>
      </c>
      <c r="C171" t="s">
        <v>32</v>
      </c>
      <c r="D171" t="s">
        <v>18</v>
      </c>
      <c r="E171" s="1">
        <v>45604</v>
      </c>
      <c r="F171" s="3">
        <v>843</v>
      </c>
      <c r="G171" s="3">
        <v>10</v>
      </c>
      <c r="H171">
        <v>1.04</v>
      </c>
      <c r="I171" s="2">
        <v>29041.06</v>
      </c>
      <c r="J171" s="2">
        <v>34899.56</v>
      </c>
      <c r="K171">
        <v>72.42</v>
      </c>
      <c r="L171" t="s">
        <v>24</v>
      </c>
      <c r="M171">
        <f>MONTH(Manufacturing[[#This Row],[Production Date]])</f>
        <v>11</v>
      </c>
      <c r="N171">
        <f>YEAR(Manufacturing[[#This Row],[Production Date]])</f>
        <v>2024</v>
      </c>
      <c r="O171" t="str">
        <f t="shared" si="2"/>
        <v>10-19</v>
      </c>
    </row>
    <row r="172" spans="1:15">
      <c r="A172" t="s">
        <v>201</v>
      </c>
      <c r="B172" t="s">
        <v>36</v>
      </c>
      <c r="C172" t="s">
        <v>17</v>
      </c>
      <c r="D172" t="s">
        <v>27</v>
      </c>
      <c r="E172" s="1">
        <v>45802</v>
      </c>
      <c r="F172" s="3">
        <v>120</v>
      </c>
      <c r="G172" s="3">
        <v>35</v>
      </c>
      <c r="H172">
        <v>5.29</v>
      </c>
      <c r="I172" s="2">
        <v>26159.19</v>
      </c>
      <c r="J172" s="2">
        <v>38036.43</v>
      </c>
      <c r="K172">
        <v>86.95</v>
      </c>
      <c r="L172" t="s">
        <v>29</v>
      </c>
      <c r="M172">
        <f>MONTH(Manufacturing[[#This Row],[Production Date]])</f>
        <v>5</v>
      </c>
      <c r="N172">
        <f>YEAR(Manufacturing[[#This Row],[Production Date]])</f>
        <v>2025</v>
      </c>
      <c r="O172" t="str">
        <f t="shared" si="2"/>
        <v>30-39</v>
      </c>
    </row>
    <row r="173" spans="1:15">
      <c r="A173" t="s">
        <v>202</v>
      </c>
      <c r="B173" t="s">
        <v>21</v>
      </c>
      <c r="C173" t="s">
        <v>22</v>
      </c>
      <c r="D173" t="s">
        <v>18</v>
      </c>
      <c r="E173" s="1">
        <v>45820</v>
      </c>
      <c r="F173" s="3">
        <v>2666</v>
      </c>
      <c r="G173" s="3">
        <v>1</v>
      </c>
      <c r="H173">
        <v>4.59</v>
      </c>
      <c r="I173" s="2">
        <v>32456.959999999999</v>
      </c>
      <c r="J173" s="2">
        <v>38427.96</v>
      </c>
      <c r="K173">
        <v>90.61</v>
      </c>
      <c r="L173" t="s">
        <v>33</v>
      </c>
      <c r="M173">
        <f>MONTH(Manufacturing[[#This Row],[Production Date]])</f>
        <v>6</v>
      </c>
      <c r="N173">
        <f>YEAR(Manufacturing[[#This Row],[Production Date]])</f>
        <v>2025</v>
      </c>
      <c r="O173" t="str">
        <f t="shared" si="2"/>
        <v>0-9</v>
      </c>
    </row>
    <row r="174" spans="1:15">
      <c r="A174" t="s">
        <v>203</v>
      </c>
      <c r="B174" t="s">
        <v>31</v>
      </c>
      <c r="C174" t="s">
        <v>17</v>
      </c>
      <c r="D174" t="s">
        <v>27</v>
      </c>
      <c r="E174" s="1">
        <v>45817</v>
      </c>
      <c r="F174" s="3">
        <v>4560</v>
      </c>
      <c r="G174" s="3">
        <v>29</v>
      </c>
      <c r="H174">
        <v>9.06</v>
      </c>
      <c r="I174" s="2">
        <v>43621.89</v>
      </c>
      <c r="J174" s="2">
        <v>58272.08</v>
      </c>
      <c r="K174">
        <v>83.08</v>
      </c>
      <c r="L174" t="s">
        <v>37</v>
      </c>
      <c r="M174">
        <f>MONTH(Manufacturing[[#This Row],[Production Date]])</f>
        <v>6</v>
      </c>
      <c r="N174">
        <f>YEAR(Manufacturing[[#This Row],[Production Date]])</f>
        <v>2025</v>
      </c>
      <c r="O174" t="str">
        <f t="shared" si="2"/>
        <v>20-29</v>
      </c>
    </row>
    <row r="175" spans="1:15">
      <c r="A175" t="s">
        <v>204</v>
      </c>
      <c r="B175" t="s">
        <v>31</v>
      </c>
      <c r="C175" t="s">
        <v>17</v>
      </c>
      <c r="D175" t="s">
        <v>27</v>
      </c>
      <c r="E175" s="1">
        <v>45943</v>
      </c>
      <c r="F175" s="3">
        <v>1711</v>
      </c>
      <c r="G175" s="3">
        <v>43</v>
      </c>
      <c r="H175">
        <v>9.99</v>
      </c>
      <c r="I175" s="2">
        <v>10399.11</v>
      </c>
      <c r="J175" s="2">
        <v>12077.32</v>
      </c>
      <c r="K175">
        <v>75.66</v>
      </c>
      <c r="L175" t="s">
        <v>19</v>
      </c>
      <c r="M175">
        <f>MONTH(Manufacturing[[#This Row],[Production Date]])</f>
        <v>10</v>
      </c>
      <c r="N175">
        <f>YEAR(Manufacturing[[#This Row],[Production Date]])</f>
        <v>2025</v>
      </c>
      <c r="O175" t="str">
        <f t="shared" si="2"/>
        <v>40-49</v>
      </c>
    </row>
    <row r="176" spans="1:15">
      <c r="A176" t="s">
        <v>205</v>
      </c>
      <c r="B176" t="s">
        <v>16</v>
      </c>
      <c r="C176" t="s">
        <v>17</v>
      </c>
      <c r="D176" t="s">
        <v>27</v>
      </c>
      <c r="E176" s="1">
        <v>45825</v>
      </c>
      <c r="F176" s="3">
        <v>985</v>
      </c>
      <c r="G176" s="3">
        <v>20</v>
      </c>
      <c r="H176">
        <v>1.5</v>
      </c>
      <c r="I176" s="2">
        <v>47904.77</v>
      </c>
      <c r="J176" s="2">
        <v>60716.01</v>
      </c>
      <c r="K176">
        <v>85.05</v>
      </c>
      <c r="L176" t="s">
        <v>33</v>
      </c>
      <c r="M176">
        <f>MONTH(Manufacturing[[#This Row],[Production Date]])</f>
        <v>6</v>
      </c>
      <c r="N176">
        <f>YEAR(Manufacturing[[#This Row],[Production Date]])</f>
        <v>2025</v>
      </c>
      <c r="O176" t="str">
        <f t="shared" si="2"/>
        <v>20-29</v>
      </c>
    </row>
    <row r="177" spans="1:15">
      <c r="A177" t="s">
        <v>206</v>
      </c>
      <c r="B177" t="s">
        <v>16</v>
      </c>
      <c r="C177" t="s">
        <v>32</v>
      </c>
      <c r="D177" t="s">
        <v>18</v>
      </c>
      <c r="E177" s="1">
        <v>45766</v>
      </c>
      <c r="F177" s="3">
        <v>2393</v>
      </c>
      <c r="G177" s="3">
        <v>38</v>
      </c>
      <c r="H177">
        <v>7.54</v>
      </c>
      <c r="I177" s="2">
        <v>30391.13</v>
      </c>
      <c r="J177" s="2">
        <v>41038.379999999997</v>
      </c>
      <c r="K177">
        <v>88.42</v>
      </c>
      <c r="L177" t="s">
        <v>29</v>
      </c>
      <c r="M177">
        <f>MONTH(Manufacturing[[#This Row],[Production Date]])</f>
        <v>4</v>
      </c>
      <c r="N177">
        <f>YEAR(Manufacturing[[#This Row],[Production Date]])</f>
        <v>2025</v>
      </c>
      <c r="O177" t="str">
        <f t="shared" si="2"/>
        <v>30-39</v>
      </c>
    </row>
    <row r="178" spans="1:15">
      <c r="A178" t="s">
        <v>207</v>
      </c>
      <c r="B178" t="s">
        <v>26</v>
      </c>
      <c r="C178" t="s">
        <v>17</v>
      </c>
      <c r="D178" t="s">
        <v>18</v>
      </c>
      <c r="E178" s="1">
        <v>45667</v>
      </c>
      <c r="F178" s="3">
        <v>2124</v>
      </c>
      <c r="G178" s="3">
        <v>26</v>
      </c>
      <c r="H178">
        <v>5.74</v>
      </c>
      <c r="I178" s="2">
        <v>17895.650000000001</v>
      </c>
      <c r="J178" s="2">
        <v>21515.79</v>
      </c>
      <c r="K178">
        <v>83.3</v>
      </c>
      <c r="L178" t="s">
        <v>33</v>
      </c>
      <c r="M178">
        <f>MONTH(Manufacturing[[#This Row],[Production Date]])</f>
        <v>1</v>
      </c>
      <c r="N178">
        <f>YEAR(Manufacturing[[#This Row],[Production Date]])</f>
        <v>2025</v>
      </c>
      <c r="O178" t="str">
        <f t="shared" si="2"/>
        <v>20-29</v>
      </c>
    </row>
    <row r="179" spans="1:15">
      <c r="A179" t="s">
        <v>208</v>
      </c>
      <c r="B179" t="s">
        <v>26</v>
      </c>
      <c r="C179" t="s">
        <v>17</v>
      </c>
      <c r="D179" t="s">
        <v>27</v>
      </c>
      <c r="E179" s="1">
        <v>45944</v>
      </c>
      <c r="F179" s="3">
        <v>3255</v>
      </c>
      <c r="G179" s="3">
        <v>32</v>
      </c>
      <c r="H179">
        <v>4.12</v>
      </c>
      <c r="I179" s="2">
        <v>45712.23</v>
      </c>
      <c r="J179" s="2">
        <v>59614.12</v>
      </c>
      <c r="K179">
        <v>91.9</v>
      </c>
      <c r="L179" t="s">
        <v>33</v>
      </c>
      <c r="M179">
        <f>MONTH(Manufacturing[[#This Row],[Production Date]])</f>
        <v>10</v>
      </c>
      <c r="N179">
        <f>YEAR(Manufacturing[[#This Row],[Production Date]])</f>
        <v>2025</v>
      </c>
      <c r="O179" t="str">
        <f t="shared" si="2"/>
        <v>30-39</v>
      </c>
    </row>
    <row r="180" spans="1:15">
      <c r="A180" t="s">
        <v>209</v>
      </c>
      <c r="B180" t="s">
        <v>16</v>
      </c>
      <c r="C180" t="s">
        <v>32</v>
      </c>
      <c r="D180" t="s">
        <v>23</v>
      </c>
      <c r="E180" s="1">
        <v>45684</v>
      </c>
      <c r="F180" s="3">
        <v>2922</v>
      </c>
      <c r="G180" s="3">
        <v>24</v>
      </c>
      <c r="H180">
        <v>9.1300000000000008</v>
      </c>
      <c r="I180" s="2">
        <v>23866.03</v>
      </c>
      <c r="J180" s="2">
        <v>32676.080000000002</v>
      </c>
      <c r="K180">
        <v>86.91</v>
      </c>
      <c r="L180" t="s">
        <v>37</v>
      </c>
      <c r="M180">
        <f>MONTH(Manufacturing[[#This Row],[Production Date]])</f>
        <v>1</v>
      </c>
      <c r="N180">
        <f>YEAR(Manufacturing[[#This Row],[Production Date]])</f>
        <v>2025</v>
      </c>
      <c r="O180" t="str">
        <f t="shared" si="2"/>
        <v>20-29</v>
      </c>
    </row>
    <row r="181" spans="1:15">
      <c r="A181" t="s">
        <v>210</v>
      </c>
      <c r="B181" t="s">
        <v>36</v>
      </c>
      <c r="C181" t="s">
        <v>22</v>
      </c>
      <c r="D181" t="s">
        <v>18</v>
      </c>
      <c r="E181" s="1">
        <v>45948</v>
      </c>
      <c r="F181" s="3">
        <v>2167</v>
      </c>
      <c r="G181" s="3">
        <v>42</v>
      </c>
      <c r="H181">
        <v>2.2999999999999998</v>
      </c>
      <c r="I181" s="2">
        <v>32747.57</v>
      </c>
      <c r="J181" s="2">
        <v>40856.32</v>
      </c>
      <c r="K181">
        <v>87.58</v>
      </c>
      <c r="L181" t="s">
        <v>33</v>
      </c>
      <c r="M181">
        <f>MONTH(Manufacturing[[#This Row],[Production Date]])</f>
        <v>10</v>
      </c>
      <c r="N181">
        <f>YEAR(Manufacturing[[#This Row],[Production Date]])</f>
        <v>2025</v>
      </c>
      <c r="O181" t="str">
        <f t="shared" si="2"/>
        <v>40-49</v>
      </c>
    </row>
    <row r="182" spans="1:15">
      <c r="A182" t="s">
        <v>211</v>
      </c>
      <c r="B182" t="s">
        <v>26</v>
      </c>
      <c r="C182" t="s">
        <v>17</v>
      </c>
      <c r="D182" t="s">
        <v>18</v>
      </c>
      <c r="E182" s="1">
        <v>45937</v>
      </c>
      <c r="F182" s="3">
        <v>794</v>
      </c>
      <c r="G182" s="3">
        <v>9</v>
      </c>
      <c r="H182">
        <v>5.26</v>
      </c>
      <c r="I182" s="2">
        <v>35339.839999999997</v>
      </c>
      <c r="J182" s="2">
        <v>40302.199999999997</v>
      </c>
      <c r="K182">
        <v>99.1</v>
      </c>
      <c r="L182" t="s">
        <v>37</v>
      </c>
      <c r="M182">
        <f>MONTH(Manufacturing[[#This Row],[Production Date]])</f>
        <v>10</v>
      </c>
      <c r="N182">
        <f>YEAR(Manufacturing[[#This Row],[Production Date]])</f>
        <v>2025</v>
      </c>
      <c r="O182" t="str">
        <f t="shared" si="2"/>
        <v>0-9</v>
      </c>
    </row>
    <row r="183" spans="1:15">
      <c r="A183" t="s">
        <v>212</v>
      </c>
      <c r="B183" t="s">
        <v>21</v>
      </c>
      <c r="C183" t="s">
        <v>17</v>
      </c>
      <c r="D183" t="s">
        <v>27</v>
      </c>
      <c r="E183" s="1">
        <v>45632</v>
      </c>
      <c r="F183" s="3">
        <v>3287</v>
      </c>
      <c r="G183" s="3">
        <v>0</v>
      </c>
      <c r="H183">
        <v>8.81</v>
      </c>
      <c r="I183" s="2">
        <v>43141.66</v>
      </c>
      <c r="J183" s="2">
        <v>61962.69</v>
      </c>
      <c r="K183">
        <v>85.08</v>
      </c>
      <c r="L183" t="s">
        <v>33</v>
      </c>
      <c r="M183">
        <f>MONTH(Manufacturing[[#This Row],[Production Date]])</f>
        <v>12</v>
      </c>
      <c r="N183">
        <f>YEAR(Manufacturing[[#This Row],[Production Date]])</f>
        <v>2024</v>
      </c>
      <c r="O183" t="str">
        <f t="shared" si="2"/>
        <v>0-9</v>
      </c>
    </row>
    <row r="184" spans="1:15">
      <c r="A184" t="s">
        <v>213</v>
      </c>
      <c r="B184" t="s">
        <v>21</v>
      </c>
      <c r="C184" t="s">
        <v>22</v>
      </c>
      <c r="D184" t="s">
        <v>27</v>
      </c>
      <c r="E184" s="1">
        <v>45692</v>
      </c>
      <c r="F184" s="3">
        <v>4322</v>
      </c>
      <c r="G184" s="3">
        <v>30</v>
      </c>
      <c r="H184">
        <v>7.05</v>
      </c>
      <c r="I184" s="2">
        <v>38815.94</v>
      </c>
      <c r="J184" s="2">
        <v>44972.76</v>
      </c>
      <c r="K184">
        <v>87.52</v>
      </c>
      <c r="L184" t="s">
        <v>19</v>
      </c>
      <c r="M184">
        <f>MONTH(Manufacturing[[#This Row],[Production Date]])</f>
        <v>2</v>
      </c>
      <c r="N184">
        <f>YEAR(Manufacturing[[#This Row],[Production Date]])</f>
        <v>2025</v>
      </c>
      <c r="O184" t="str">
        <f t="shared" si="2"/>
        <v>30-39</v>
      </c>
    </row>
    <row r="185" spans="1:15">
      <c r="A185" t="s">
        <v>214</v>
      </c>
      <c r="B185" t="s">
        <v>26</v>
      </c>
      <c r="C185" t="s">
        <v>22</v>
      </c>
      <c r="D185" t="s">
        <v>18</v>
      </c>
      <c r="E185" s="1">
        <v>45718</v>
      </c>
      <c r="F185" s="3">
        <v>3833</v>
      </c>
      <c r="G185" s="3">
        <v>42</v>
      </c>
      <c r="H185">
        <v>2.67</v>
      </c>
      <c r="I185" s="2">
        <v>1821.2</v>
      </c>
      <c r="J185" s="2">
        <v>2449.2199999999998</v>
      </c>
      <c r="K185">
        <v>71.53</v>
      </c>
      <c r="L185" t="s">
        <v>37</v>
      </c>
      <c r="M185">
        <f>MONTH(Manufacturing[[#This Row],[Production Date]])</f>
        <v>3</v>
      </c>
      <c r="N185">
        <f>YEAR(Manufacturing[[#This Row],[Production Date]])</f>
        <v>2025</v>
      </c>
      <c r="O185" t="str">
        <f t="shared" si="2"/>
        <v>40-49</v>
      </c>
    </row>
    <row r="186" spans="1:15">
      <c r="A186" t="s">
        <v>215</v>
      </c>
      <c r="B186" t="s">
        <v>26</v>
      </c>
      <c r="C186" t="s">
        <v>22</v>
      </c>
      <c r="D186" t="s">
        <v>18</v>
      </c>
      <c r="E186" s="1">
        <v>45898</v>
      </c>
      <c r="F186" s="3">
        <v>4726</v>
      </c>
      <c r="G186" s="3">
        <v>45</v>
      </c>
      <c r="H186">
        <v>4.25</v>
      </c>
      <c r="I186" s="2">
        <v>6955.5</v>
      </c>
      <c r="J186" s="2">
        <v>10220.620000000001</v>
      </c>
      <c r="K186">
        <v>97.12</v>
      </c>
      <c r="L186" t="s">
        <v>37</v>
      </c>
      <c r="M186">
        <f>MONTH(Manufacturing[[#This Row],[Production Date]])</f>
        <v>8</v>
      </c>
      <c r="N186">
        <f>YEAR(Manufacturing[[#This Row],[Production Date]])</f>
        <v>2025</v>
      </c>
      <c r="O186" t="str">
        <f t="shared" si="2"/>
        <v>40-49</v>
      </c>
    </row>
    <row r="187" spans="1:15">
      <c r="A187" t="s">
        <v>216</v>
      </c>
      <c r="B187" t="s">
        <v>16</v>
      </c>
      <c r="C187" t="s">
        <v>17</v>
      </c>
      <c r="D187" t="s">
        <v>18</v>
      </c>
      <c r="E187" s="1">
        <v>45639</v>
      </c>
      <c r="F187" s="3">
        <v>1599</v>
      </c>
      <c r="G187" s="3">
        <v>33</v>
      </c>
      <c r="H187">
        <v>8.23</v>
      </c>
      <c r="I187" s="2">
        <v>5779.16</v>
      </c>
      <c r="J187" s="2">
        <v>7021.75</v>
      </c>
      <c r="K187">
        <v>85.33</v>
      </c>
      <c r="L187" t="s">
        <v>37</v>
      </c>
      <c r="M187">
        <f>MONTH(Manufacturing[[#This Row],[Production Date]])</f>
        <v>12</v>
      </c>
      <c r="N187">
        <f>YEAR(Manufacturing[[#This Row],[Production Date]])</f>
        <v>2024</v>
      </c>
      <c r="O187" t="str">
        <f t="shared" si="2"/>
        <v>30-39</v>
      </c>
    </row>
    <row r="188" spans="1:15">
      <c r="A188" t="s">
        <v>217</v>
      </c>
      <c r="B188" t="s">
        <v>16</v>
      </c>
      <c r="C188" t="s">
        <v>32</v>
      </c>
      <c r="D188" t="s">
        <v>18</v>
      </c>
      <c r="E188" s="1">
        <v>45917</v>
      </c>
      <c r="F188" s="3">
        <v>3343</v>
      </c>
      <c r="G188" s="3">
        <v>17</v>
      </c>
      <c r="H188">
        <v>6.53</v>
      </c>
      <c r="I188" s="2">
        <v>45258.99</v>
      </c>
      <c r="J188" s="2">
        <v>63904.57</v>
      </c>
      <c r="K188">
        <v>75.94</v>
      </c>
      <c r="L188" t="s">
        <v>19</v>
      </c>
      <c r="M188">
        <f>MONTH(Manufacturing[[#This Row],[Production Date]])</f>
        <v>9</v>
      </c>
      <c r="N188">
        <f>YEAR(Manufacturing[[#This Row],[Production Date]])</f>
        <v>2025</v>
      </c>
      <c r="O188" t="str">
        <f t="shared" si="2"/>
        <v>10-19</v>
      </c>
    </row>
    <row r="189" spans="1:15">
      <c r="A189" t="s">
        <v>218</v>
      </c>
      <c r="B189" t="s">
        <v>21</v>
      </c>
      <c r="C189" t="s">
        <v>22</v>
      </c>
      <c r="D189" t="s">
        <v>18</v>
      </c>
      <c r="E189" s="1">
        <v>45834</v>
      </c>
      <c r="F189" s="3">
        <v>4304</v>
      </c>
      <c r="G189" s="3">
        <v>24</v>
      </c>
      <c r="H189">
        <v>4.87</v>
      </c>
      <c r="I189" s="2">
        <v>36788.39</v>
      </c>
      <c r="J189" s="2">
        <v>53370.57</v>
      </c>
      <c r="K189">
        <v>87.11</v>
      </c>
      <c r="L189" t="s">
        <v>19</v>
      </c>
      <c r="M189">
        <f>MONTH(Manufacturing[[#This Row],[Production Date]])</f>
        <v>6</v>
      </c>
      <c r="N189">
        <f>YEAR(Manufacturing[[#This Row],[Production Date]])</f>
        <v>2025</v>
      </c>
      <c r="O189" t="str">
        <f t="shared" si="2"/>
        <v>20-29</v>
      </c>
    </row>
    <row r="190" spans="1:15">
      <c r="A190" t="s">
        <v>219</v>
      </c>
      <c r="B190" t="s">
        <v>16</v>
      </c>
      <c r="C190" t="s">
        <v>32</v>
      </c>
      <c r="D190" t="s">
        <v>23</v>
      </c>
      <c r="E190" s="1">
        <v>45928</v>
      </c>
      <c r="F190" s="3">
        <v>4871</v>
      </c>
      <c r="G190" s="3">
        <v>47</v>
      </c>
      <c r="H190">
        <v>0.34</v>
      </c>
      <c r="I190" s="2">
        <v>30893.61</v>
      </c>
      <c r="J190" s="2">
        <v>36401.29</v>
      </c>
      <c r="K190">
        <v>93.34</v>
      </c>
      <c r="L190" t="s">
        <v>37</v>
      </c>
      <c r="M190">
        <f>MONTH(Manufacturing[[#This Row],[Production Date]])</f>
        <v>9</v>
      </c>
      <c r="N190">
        <f>YEAR(Manufacturing[[#This Row],[Production Date]])</f>
        <v>2025</v>
      </c>
      <c r="O190" t="str">
        <f t="shared" si="2"/>
        <v>40-49</v>
      </c>
    </row>
    <row r="191" spans="1:15">
      <c r="A191" t="s">
        <v>220</v>
      </c>
      <c r="B191" t="s">
        <v>31</v>
      </c>
      <c r="C191" t="s">
        <v>32</v>
      </c>
      <c r="D191" t="s">
        <v>23</v>
      </c>
      <c r="E191" s="1">
        <v>45763</v>
      </c>
      <c r="F191" s="3">
        <v>4191</v>
      </c>
      <c r="G191" s="3">
        <v>40</v>
      </c>
      <c r="H191">
        <v>1.41</v>
      </c>
      <c r="I191" s="2">
        <v>27739.1</v>
      </c>
      <c r="J191" s="2">
        <v>36877.620000000003</v>
      </c>
      <c r="K191">
        <v>88.12</v>
      </c>
      <c r="L191" t="s">
        <v>29</v>
      </c>
      <c r="M191">
        <f>MONTH(Manufacturing[[#This Row],[Production Date]])</f>
        <v>4</v>
      </c>
      <c r="N191">
        <f>YEAR(Manufacturing[[#This Row],[Production Date]])</f>
        <v>2025</v>
      </c>
      <c r="O191" t="str">
        <f t="shared" si="2"/>
        <v>40-49</v>
      </c>
    </row>
    <row r="192" spans="1:15">
      <c r="A192" t="s">
        <v>221</v>
      </c>
      <c r="B192" t="s">
        <v>31</v>
      </c>
      <c r="C192" t="s">
        <v>22</v>
      </c>
      <c r="D192" t="s">
        <v>23</v>
      </c>
      <c r="E192" s="1">
        <v>45599</v>
      </c>
      <c r="F192" s="3">
        <v>3167</v>
      </c>
      <c r="G192" s="3">
        <v>41</v>
      </c>
      <c r="H192">
        <v>2.42</v>
      </c>
      <c r="I192" s="2">
        <v>31352.18</v>
      </c>
      <c r="J192" s="2">
        <v>36867.56</v>
      </c>
      <c r="K192">
        <v>74.040000000000006</v>
      </c>
      <c r="L192" t="s">
        <v>24</v>
      </c>
      <c r="M192">
        <f>MONTH(Manufacturing[[#This Row],[Production Date]])</f>
        <v>11</v>
      </c>
      <c r="N192">
        <f>YEAR(Manufacturing[[#This Row],[Production Date]])</f>
        <v>2024</v>
      </c>
      <c r="O192" t="str">
        <f t="shared" si="2"/>
        <v>40-49</v>
      </c>
    </row>
    <row r="193" spans="1:15">
      <c r="A193" t="s">
        <v>222</v>
      </c>
      <c r="B193" t="s">
        <v>26</v>
      </c>
      <c r="C193" t="s">
        <v>32</v>
      </c>
      <c r="D193" t="s">
        <v>27</v>
      </c>
      <c r="E193" s="1">
        <v>45930</v>
      </c>
      <c r="F193" s="3">
        <v>3200</v>
      </c>
      <c r="G193" s="3">
        <v>5</v>
      </c>
      <c r="H193">
        <v>0.65</v>
      </c>
      <c r="I193" s="2">
        <v>41647.269999999997</v>
      </c>
      <c r="J193" s="2">
        <v>60644.82</v>
      </c>
      <c r="K193">
        <v>94.37</v>
      </c>
      <c r="L193" t="s">
        <v>24</v>
      </c>
      <c r="M193">
        <f>MONTH(Manufacturing[[#This Row],[Production Date]])</f>
        <v>9</v>
      </c>
      <c r="N193">
        <f>YEAR(Manufacturing[[#This Row],[Production Date]])</f>
        <v>2025</v>
      </c>
      <c r="O193" t="str">
        <f t="shared" si="2"/>
        <v>0-9</v>
      </c>
    </row>
    <row r="194" spans="1:15">
      <c r="A194" t="s">
        <v>223</v>
      </c>
      <c r="B194" t="s">
        <v>26</v>
      </c>
      <c r="C194" t="s">
        <v>32</v>
      </c>
      <c r="D194" t="s">
        <v>23</v>
      </c>
      <c r="E194" s="1">
        <v>45609</v>
      </c>
      <c r="F194" s="3">
        <v>1178</v>
      </c>
      <c r="G194" s="3">
        <v>36</v>
      </c>
      <c r="H194">
        <v>4.41</v>
      </c>
      <c r="I194" s="2">
        <v>11205.77</v>
      </c>
      <c r="J194" s="2">
        <v>13855.21</v>
      </c>
      <c r="K194">
        <v>82.41</v>
      </c>
      <c r="L194" t="s">
        <v>29</v>
      </c>
      <c r="M194">
        <f>MONTH(Manufacturing[[#This Row],[Production Date]])</f>
        <v>11</v>
      </c>
      <c r="N194">
        <f>YEAR(Manufacturing[[#This Row],[Production Date]])</f>
        <v>2024</v>
      </c>
      <c r="O194" t="str">
        <f t="shared" si="2"/>
        <v>30-39</v>
      </c>
    </row>
    <row r="195" spans="1:15">
      <c r="A195" t="s">
        <v>224</v>
      </c>
      <c r="B195" t="s">
        <v>16</v>
      </c>
      <c r="C195" t="s">
        <v>32</v>
      </c>
      <c r="D195" t="s">
        <v>18</v>
      </c>
      <c r="E195" s="1">
        <v>45909</v>
      </c>
      <c r="F195" s="3">
        <v>2055</v>
      </c>
      <c r="G195" s="3">
        <v>38</v>
      </c>
      <c r="H195">
        <v>6.67</v>
      </c>
      <c r="I195" s="2">
        <v>40256.449999999997</v>
      </c>
      <c r="J195" s="2">
        <v>49992.97</v>
      </c>
      <c r="K195">
        <v>87.1</v>
      </c>
      <c r="L195" t="s">
        <v>24</v>
      </c>
      <c r="M195">
        <f>MONTH(Manufacturing[[#This Row],[Production Date]])</f>
        <v>9</v>
      </c>
      <c r="N195">
        <f>YEAR(Manufacturing[[#This Row],[Production Date]])</f>
        <v>2025</v>
      </c>
      <c r="O195" t="str">
        <f t="shared" ref="O195:O258" si="3">IF(G195&lt;=9,"0-9",IF(G195&lt;=19,"10-19",IF(G195&lt;=29,"20-29",IF(G195&lt;=39,"30-39",IF(G195&lt;=49,"40-49","50+")))))</f>
        <v>30-39</v>
      </c>
    </row>
    <row r="196" spans="1:15">
      <c r="A196" t="s">
        <v>225</v>
      </c>
      <c r="B196" t="s">
        <v>31</v>
      </c>
      <c r="C196" t="s">
        <v>32</v>
      </c>
      <c r="D196" t="s">
        <v>18</v>
      </c>
      <c r="E196" s="1">
        <v>45728</v>
      </c>
      <c r="F196" s="3">
        <v>4603</v>
      </c>
      <c r="G196" s="3">
        <v>38</v>
      </c>
      <c r="H196">
        <v>6.79</v>
      </c>
      <c r="I196" s="2">
        <v>20885.32</v>
      </c>
      <c r="J196" s="2">
        <v>23305.89</v>
      </c>
      <c r="K196">
        <v>78.06</v>
      </c>
      <c r="L196" t="s">
        <v>33</v>
      </c>
      <c r="M196">
        <f>MONTH(Manufacturing[[#This Row],[Production Date]])</f>
        <v>3</v>
      </c>
      <c r="N196">
        <f>YEAR(Manufacturing[[#This Row],[Production Date]])</f>
        <v>2025</v>
      </c>
      <c r="O196" t="str">
        <f t="shared" si="3"/>
        <v>30-39</v>
      </c>
    </row>
    <row r="197" spans="1:15">
      <c r="A197" t="s">
        <v>226</v>
      </c>
      <c r="B197" t="s">
        <v>36</v>
      </c>
      <c r="C197" t="s">
        <v>22</v>
      </c>
      <c r="D197" t="s">
        <v>27</v>
      </c>
      <c r="E197" s="1">
        <v>45740</v>
      </c>
      <c r="F197" s="3">
        <v>318</v>
      </c>
      <c r="G197" s="3">
        <v>27</v>
      </c>
      <c r="H197">
        <v>7.09</v>
      </c>
      <c r="I197" s="2">
        <v>23024.65</v>
      </c>
      <c r="J197" s="2">
        <v>33016.949999999997</v>
      </c>
      <c r="K197">
        <v>77.83</v>
      </c>
      <c r="L197" t="s">
        <v>37</v>
      </c>
      <c r="M197">
        <f>MONTH(Manufacturing[[#This Row],[Production Date]])</f>
        <v>3</v>
      </c>
      <c r="N197">
        <f>YEAR(Manufacturing[[#This Row],[Production Date]])</f>
        <v>2025</v>
      </c>
      <c r="O197" t="str">
        <f t="shared" si="3"/>
        <v>20-29</v>
      </c>
    </row>
    <row r="198" spans="1:15">
      <c r="A198" t="s">
        <v>227</v>
      </c>
      <c r="B198" t="s">
        <v>36</v>
      </c>
      <c r="C198" t="s">
        <v>22</v>
      </c>
      <c r="D198" t="s">
        <v>18</v>
      </c>
      <c r="E198" s="1">
        <v>45733</v>
      </c>
      <c r="F198" s="3">
        <v>3364</v>
      </c>
      <c r="G198" s="3">
        <v>21</v>
      </c>
      <c r="H198">
        <v>8.73</v>
      </c>
      <c r="I198" s="2">
        <v>2402.77</v>
      </c>
      <c r="J198" s="2">
        <v>3320.75</v>
      </c>
      <c r="K198">
        <v>81.180000000000007</v>
      </c>
      <c r="L198" t="s">
        <v>24</v>
      </c>
      <c r="M198">
        <f>MONTH(Manufacturing[[#This Row],[Production Date]])</f>
        <v>3</v>
      </c>
      <c r="N198">
        <f>YEAR(Manufacturing[[#This Row],[Production Date]])</f>
        <v>2025</v>
      </c>
      <c r="O198" t="str">
        <f t="shared" si="3"/>
        <v>20-29</v>
      </c>
    </row>
    <row r="199" spans="1:15">
      <c r="A199" t="s">
        <v>228</v>
      </c>
      <c r="B199" t="s">
        <v>26</v>
      </c>
      <c r="C199" t="s">
        <v>17</v>
      </c>
      <c r="D199" t="s">
        <v>23</v>
      </c>
      <c r="E199" s="1">
        <v>45613</v>
      </c>
      <c r="F199" s="3">
        <v>2924</v>
      </c>
      <c r="G199" s="3">
        <v>42</v>
      </c>
      <c r="H199">
        <v>0.57999999999999996</v>
      </c>
      <c r="I199" s="2">
        <v>36559.17</v>
      </c>
      <c r="J199" s="2">
        <v>50764.61</v>
      </c>
      <c r="K199">
        <v>91.05</v>
      </c>
      <c r="L199" t="s">
        <v>24</v>
      </c>
      <c r="M199">
        <f>MONTH(Manufacturing[[#This Row],[Production Date]])</f>
        <v>11</v>
      </c>
      <c r="N199">
        <f>YEAR(Manufacturing[[#This Row],[Production Date]])</f>
        <v>2024</v>
      </c>
      <c r="O199" t="str">
        <f t="shared" si="3"/>
        <v>40-49</v>
      </c>
    </row>
    <row r="200" spans="1:15">
      <c r="A200" t="s">
        <v>229</v>
      </c>
      <c r="B200" t="s">
        <v>16</v>
      </c>
      <c r="C200" t="s">
        <v>32</v>
      </c>
      <c r="D200" t="s">
        <v>27</v>
      </c>
      <c r="E200" s="1">
        <v>45639</v>
      </c>
      <c r="F200" s="3">
        <v>3580</v>
      </c>
      <c r="G200" s="3">
        <v>43</v>
      </c>
      <c r="H200">
        <v>8.26</v>
      </c>
      <c r="I200" s="2">
        <v>39753.22</v>
      </c>
      <c r="J200" s="2">
        <v>56485.39</v>
      </c>
      <c r="K200">
        <v>83.22</v>
      </c>
      <c r="L200" t="s">
        <v>37</v>
      </c>
      <c r="M200">
        <f>MONTH(Manufacturing[[#This Row],[Production Date]])</f>
        <v>12</v>
      </c>
      <c r="N200">
        <f>YEAR(Manufacturing[[#This Row],[Production Date]])</f>
        <v>2024</v>
      </c>
      <c r="O200" t="str">
        <f t="shared" si="3"/>
        <v>40-49</v>
      </c>
    </row>
    <row r="201" spans="1:15">
      <c r="A201" t="s">
        <v>230</v>
      </c>
      <c r="B201" t="s">
        <v>26</v>
      </c>
      <c r="C201" t="s">
        <v>22</v>
      </c>
      <c r="D201" t="s">
        <v>27</v>
      </c>
      <c r="E201" s="1">
        <v>45918</v>
      </c>
      <c r="F201" s="3">
        <v>3591</v>
      </c>
      <c r="G201" s="3">
        <v>48</v>
      </c>
      <c r="H201">
        <v>6.22</v>
      </c>
      <c r="I201" s="2">
        <v>31572.27</v>
      </c>
      <c r="J201" s="2">
        <v>44596.39</v>
      </c>
      <c r="K201">
        <v>79.540000000000006</v>
      </c>
      <c r="L201" t="s">
        <v>29</v>
      </c>
      <c r="M201">
        <f>MONTH(Manufacturing[[#This Row],[Production Date]])</f>
        <v>9</v>
      </c>
      <c r="N201">
        <f>YEAR(Manufacturing[[#This Row],[Production Date]])</f>
        <v>2025</v>
      </c>
      <c r="O201" t="str">
        <f t="shared" si="3"/>
        <v>40-49</v>
      </c>
    </row>
    <row r="202" spans="1:15">
      <c r="A202" t="s">
        <v>231</v>
      </c>
      <c r="B202" t="s">
        <v>16</v>
      </c>
      <c r="C202" t="s">
        <v>17</v>
      </c>
      <c r="D202" t="s">
        <v>18</v>
      </c>
      <c r="E202" s="1">
        <v>45645</v>
      </c>
      <c r="F202" s="3">
        <v>916</v>
      </c>
      <c r="G202" s="3">
        <v>40</v>
      </c>
      <c r="H202">
        <v>2.0499999999999998</v>
      </c>
      <c r="I202" s="2">
        <v>28605.279999999999</v>
      </c>
      <c r="J202" s="2">
        <v>34408.79</v>
      </c>
      <c r="K202">
        <v>85.14</v>
      </c>
      <c r="L202" t="s">
        <v>19</v>
      </c>
      <c r="M202">
        <f>MONTH(Manufacturing[[#This Row],[Production Date]])</f>
        <v>12</v>
      </c>
      <c r="N202">
        <f>YEAR(Manufacturing[[#This Row],[Production Date]])</f>
        <v>2024</v>
      </c>
      <c r="O202" t="str">
        <f t="shared" si="3"/>
        <v>40-49</v>
      </c>
    </row>
    <row r="203" spans="1:15">
      <c r="A203" t="s">
        <v>232</v>
      </c>
      <c r="B203" t="s">
        <v>16</v>
      </c>
      <c r="C203" t="s">
        <v>32</v>
      </c>
      <c r="D203" t="s">
        <v>23</v>
      </c>
      <c r="E203" s="1">
        <v>45664</v>
      </c>
      <c r="F203" s="3">
        <v>1385</v>
      </c>
      <c r="G203" s="3">
        <v>7</v>
      </c>
      <c r="H203">
        <v>8.58</v>
      </c>
      <c r="I203" s="2">
        <v>17668</v>
      </c>
      <c r="J203" s="2">
        <v>20590.73</v>
      </c>
      <c r="K203">
        <v>91.95</v>
      </c>
      <c r="L203" t="s">
        <v>19</v>
      </c>
      <c r="M203">
        <f>MONTH(Manufacturing[[#This Row],[Production Date]])</f>
        <v>1</v>
      </c>
      <c r="N203">
        <f>YEAR(Manufacturing[[#This Row],[Production Date]])</f>
        <v>2025</v>
      </c>
      <c r="O203" t="str">
        <f t="shared" si="3"/>
        <v>0-9</v>
      </c>
    </row>
    <row r="204" spans="1:15">
      <c r="A204" t="s">
        <v>233</v>
      </c>
      <c r="B204" t="s">
        <v>16</v>
      </c>
      <c r="C204" t="s">
        <v>17</v>
      </c>
      <c r="D204" t="s">
        <v>23</v>
      </c>
      <c r="E204" s="1">
        <v>45625</v>
      </c>
      <c r="F204" s="3">
        <v>1941</v>
      </c>
      <c r="G204" s="3">
        <v>31</v>
      </c>
      <c r="H204">
        <v>8.44</v>
      </c>
      <c r="I204" s="2">
        <v>25454.1</v>
      </c>
      <c r="J204" s="2">
        <v>33903.51</v>
      </c>
      <c r="K204">
        <v>93.55</v>
      </c>
      <c r="L204" t="s">
        <v>33</v>
      </c>
      <c r="M204">
        <f>MONTH(Manufacturing[[#This Row],[Production Date]])</f>
        <v>11</v>
      </c>
      <c r="N204">
        <f>YEAR(Manufacturing[[#This Row],[Production Date]])</f>
        <v>2024</v>
      </c>
      <c r="O204" t="str">
        <f t="shared" si="3"/>
        <v>30-39</v>
      </c>
    </row>
    <row r="205" spans="1:15">
      <c r="A205" t="s">
        <v>234</v>
      </c>
      <c r="B205" t="s">
        <v>21</v>
      </c>
      <c r="C205" t="s">
        <v>32</v>
      </c>
      <c r="D205" t="s">
        <v>27</v>
      </c>
      <c r="E205" s="1">
        <v>45777</v>
      </c>
      <c r="F205" s="3">
        <v>148</v>
      </c>
      <c r="G205" s="3">
        <v>49</v>
      </c>
      <c r="H205">
        <v>2.2999999999999998</v>
      </c>
      <c r="I205" s="2">
        <v>9552.83</v>
      </c>
      <c r="J205" s="2">
        <v>12405.91</v>
      </c>
      <c r="K205">
        <v>78.69</v>
      </c>
      <c r="L205" t="s">
        <v>29</v>
      </c>
      <c r="M205">
        <f>MONTH(Manufacturing[[#This Row],[Production Date]])</f>
        <v>4</v>
      </c>
      <c r="N205">
        <f>YEAR(Manufacturing[[#This Row],[Production Date]])</f>
        <v>2025</v>
      </c>
      <c r="O205" t="str">
        <f t="shared" si="3"/>
        <v>40-49</v>
      </c>
    </row>
    <row r="206" spans="1:15">
      <c r="A206" t="s">
        <v>235</v>
      </c>
      <c r="B206" t="s">
        <v>21</v>
      </c>
      <c r="C206" t="s">
        <v>32</v>
      </c>
      <c r="D206" t="s">
        <v>27</v>
      </c>
      <c r="E206" s="1">
        <v>45683</v>
      </c>
      <c r="F206" s="3">
        <v>4350</v>
      </c>
      <c r="G206" s="3">
        <v>38</v>
      </c>
      <c r="H206">
        <v>8.76</v>
      </c>
      <c r="I206" s="2">
        <v>33261.050000000003</v>
      </c>
      <c r="J206" s="2">
        <v>36966.239999999998</v>
      </c>
      <c r="K206">
        <v>95.35</v>
      </c>
      <c r="L206" t="s">
        <v>33</v>
      </c>
      <c r="M206">
        <f>MONTH(Manufacturing[[#This Row],[Production Date]])</f>
        <v>1</v>
      </c>
      <c r="N206">
        <f>YEAR(Manufacturing[[#This Row],[Production Date]])</f>
        <v>2025</v>
      </c>
      <c r="O206" t="str">
        <f t="shared" si="3"/>
        <v>30-39</v>
      </c>
    </row>
    <row r="207" spans="1:15">
      <c r="A207" t="s">
        <v>236</v>
      </c>
      <c r="B207" t="s">
        <v>26</v>
      </c>
      <c r="C207" t="s">
        <v>32</v>
      </c>
      <c r="D207" t="s">
        <v>18</v>
      </c>
      <c r="E207" s="1">
        <v>45634</v>
      </c>
      <c r="F207" s="3">
        <v>1913</v>
      </c>
      <c r="G207" s="3">
        <v>32</v>
      </c>
      <c r="H207">
        <v>1.0900000000000001</v>
      </c>
      <c r="I207" s="2">
        <v>16294.28</v>
      </c>
      <c r="J207" s="2">
        <v>19028.66</v>
      </c>
      <c r="K207">
        <v>99.32</v>
      </c>
      <c r="L207" t="s">
        <v>33</v>
      </c>
      <c r="M207">
        <f>MONTH(Manufacturing[[#This Row],[Production Date]])</f>
        <v>12</v>
      </c>
      <c r="N207">
        <f>YEAR(Manufacturing[[#This Row],[Production Date]])</f>
        <v>2024</v>
      </c>
      <c r="O207" t="str">
        <f t="shared" si="3"/>
        <v>30-39</v>
      </c>
    </row>
    <row r="208" spans="1:15">
      <c r="A208" t="s">
        <v>237</v>
      </c>
      <c r="B208" t="s">
        <v>31</v>
      </c>
      <c r="C208" t="s">
        <v>22</v>
      </c>
      <c r="D208" t="s">
        <v>18</v>
      </c>
      <c r="E208" s="1">
        <v>45870</v>
      </c>
      <c r="F208" s="3">
        <v>364</v>
      </c>
      <c r="G208" s="3">
        <v>21</v>
      </c>
      <c r="H208">
        <v>8.7899999999999991</v>
      </c>
      <c r="I208" s="2">
        <v>29615.15</v>
      </c>
      <c r="J208" s="2">
        <v>35735.089999999997</v>
      </c>
      <c r="K208">
        <v>73.349999999999994</v>
      </c>
      <c r="L208" t="s">
        <v>19</v>
      </c>
      <c r="M208">
        <f>MONTH(Manufacturing[[#This Row],[Production Date]])</f>
        <v>8</v>
      </c>
      <c r="N208">
        <f>YEAR(Manufacturing[[#This Row],[Production Date]])</f>
        <v>2025</v>
      </c>
      <c r="O208" t="str">
        <f t="shared" si="3"/>
        <v>20-29</v>
      </c>
    </row>
    <row r="209" spans="1:15">
      <c r="A209" t="s">
        <v>238</v>
      </c>
      <c r="B209" t="s">
        <v>16</v>
      </c>
      <c r="C209" t="s">
        <v>17</v>
      </c>
      <c r="D209" t="s">
        <v>27</v>
      </c>
      <c r="E209" s="1">
        <v>45866</v>
      </c>
      <c r="F209" s="3">
        <v>3141</v>
      </c>
      <c r="G209" s="3">
        <v>19</v>
      </c>
      <c r="H209">
        <v>7.07</v>
      </c>
      <c r="I209" s="2">
        <v>28357.61</v>
      </c>
      <c r="J209" s="2">
        <v>37802.769999999997</v>
      </c>
      <c r="K209">
        <v>87.17</v>
      </c>
      <c r="L209" t="s">
        <v>24</v>
      </c>
      <c r="M209">
        <f>MONTH(Manufacturing[[#This Row],[Production Date]])</f>
        <v>7</v>
      </c>
      <c r="N209">
        <f>YEAR(Manufacturing[[#This Row],[Production Date]])</f>
        <v>2025</v>
      </c>
      <c r="O209" t="str">
        <f t="shared" si="3"/>
        <v>10-19</v>
      </c>
    </row>
    <row r="210" spans="1:15">
      <c r="A210" t="s">
        <v>239</v>
      </c>
      <c r="B210" t="s">
        <v>16</v>
      </c>
      <c r="C210" t="s">
        <v>32</v>
      </c>
      <c r="D210" t="s">
        <v>27</v>
      </c>
      <c r="E210" s="1">
        <v>45676</v>
      </c>
      <c r="F210" s="3">
        <v>355</v>
      </c>
      <c r="G210" s="3">
        <v>13</v>
      </c>
      <c r="H210">
        <v>3.28</v>
      </c>
      <c r="I210" s="2">
        <v>20925.240000000002</v>
      </c>
      <c r="J210" s="2">
        <v>30165.7</v>
      </c>
      <c r="K210">
        <v>70.77</v>
      </c>
      <c r="L210" t="s">
        <v>19</v>
      </c>
      <c r="M210">
        <f>MONTH(Manufacturing[[#This Row],[Production Date]])</f>
        <v>1</v>
      </c>
      <c r="N210">
        <f>YEAR(Manufacturing[[#This Row],[Production Date]])</f>
        <v>2025</v>
      </c>
      <c r="O210" t="str">
        <f t="shared" si="3"/>
        <v>10-19</v>
      </c>
    </row>
    <row r="211" spans="1:15">
      <c r="A211" t="s">
        <v>240</v>
      </c>
      <c r="B211" t="s">
        <v>21</v>
      </c>
      <c r="C211" t="s">
        <v>22</v>
      </c>
      <c r="D211" t="s">
        <v>27</v>
      </c>
      <c r="E211" s="1">
        <v>45883</v>
      </c>
      <c r="F211" s="3">
        <v>4934</v>
      </c>
      <c r="G211" s="3">
        <v>34</v>
      </c>
      <c r="H211">
        <v>1.02</v>
      </c>
      <c r="I211" s="2">
        <v>31809.71</v>
      </c>
      <c r="J211" s="2">
        <v>40329.019999999997</v>
      </c>
      <c r="K211">
        <v>70.66</v>
      </c>
      <c r="L211" t="s">
        <v>19</v>
      </c>
      <c r="M211">
        <f>MONTH(Manufacturing[[#This Row],[Production Date]])</f>
        <v>8</v>
      </c>
      <c r="N211">
        <f>YEAR(Manufacturing[[#This Row],[Production Date]])</f>
        <v>2025</v>
      </c>
      <c r="O211" t="str">
        <f t="shared" si="3"/>
        <v>30-39</v>
      </c>
    </row>
    <row r="212" spans="1:15">
      <c r="A212" t="s">
        <v>241</v>
      </c>
      <c r="B212" t="s">
        <v>21</v>
      </c>
      <c r="C212" t="s">
        <v>22</v>
      </c>
      <c r="D212" t="s">
        <v>27</v>
      </c>
      <c r="E212" s="1">
        <v>45663</v>
      </c>
      <c r="F212" s="3">
        <v>1782</v>
      </c>
      <c r="G212" s="3">
        <v>4</v>
      </c>
      <c r="H212">
        <v>0.71</v>
      </c>
      <c r="I212" s="2">
        <v>38613.54</v>
      </c>
      <c r="J212" s="2">
        <v>50369.38</v>
      </c>
      <c r="K212">
        <v>83.8</v>
      </c>
      <c r="L212" t="s">
        <v>37</v>
      </c>
      <c r="M212">
        <f>MONTH(Manufacturing[[#This Row],[Production Date]])</f>
        <v>1</v>
      </c>
      <c r="N212">
        <f>YEAR(Manufacturing[[#This Row],[Production Date]])</f>
        <v>2025</v>
      </c>
      <c r="O212" t="str">
        <f t="shared" si="3"/>
        <v>0-9</v>
      </c>
    </row>
    <row r="213" spans="1:15">
      <c r="A213" t="s">
        <v>242</v>
      </c>
      <c r="B213" t="s">
        <v>31</v>
      </c>
      <c r="C213" t="s">
        <v>22</v>
      </c>
      <c r="D213" t="s">
        <v>18</v>
      </c>
      <c r="E213" s="1">
        <v>45902</v>
      </c>
      <c r="F213" s="3">
        <v>1688</v>
      </c>
      <c r="G213" s="3">
        <v>4</v>
      </c>
      <c r="H213">
        <v>7.89</v>
      </c>
      <c r="I213" s="2">
        <v>7322.78</v>
      </c>
      <c r="J213" s="2">
        <v>10616.61</v>
      </c>
      <c r="K213">
        <v>77.02</v>
      </c>
      <c r="L213" t="s">
        <v>37</v>
      </c>
      <c r="M213">
        <f>MONTH(Manufacturing[[#This Row],[Production Date]])</f>
        <v>9</v>
      </c>
      <c r="N213">
        <f>YEAR(Manufacturing[[#This Row],[Production Date]])</f>
        <v>2025</v>
      </c>
      <c r="O213" t="str">
        <f t="shared" si="3"/>
        <v>0-9</v>
      </c>
    </row>
    <row r="214" spans="1:15">
      <c r="A214" t="s">
        <v>243</v>
      </c>
      <c r="B214" t="s">
        <v>31</v>
      </c>
      <c r="C214" t="s">
        <v>17</v>
      </c>
      <c r="D214" t="s">
        <v>18</v>
      </c>
      <c r="E214" s="1">
        <v>45954</v>
      </c>
      <c r="F214" s="3">
        <v>1623</v>
      </c>
      <c r="G214" s="3">
        <v>23</v>
      </c>
      <c r="H214">
        <v>3.76</v>
      </c>
      <c r="I214" s="2">
        <v>6996.44</v>
      </c>
      <c r="J214" s="2">
        <v>9878.69</v>
      </c>
      <c r="K214">
        <v>75.010000000000005</v>
      </c>
      <c r="L214" t="s">
        <v>24</v>
      </c>
      <c r="M214">
        <f>MONTH(Manufacturing[[#This Row],[Production Date]])</f>
        <v>10</v>
      </c>
      <c r="N214">
        <f>YEAR(Manufacturing[[#This Row],[Production Date]])</f>
        <v>2025</v>
      </c>
      <c r="O214" t="str">
        <f t="shared" si="3"/>
        <v>20-29</v>
      </c>
    </row>
    <row r="215" spans="1:15">
      <c r="A215" t="s">
        <v>244</v>
      </c>
      <c r="B215" t="s">
        <v>31</v>
      </c>
      <c r="C215" t="s">
        <v>22</v>
      </c>
      <c r="D215" t="s">
        <v>27</v>
      </c>
      <c r="E215" s="1">
        <v>45700</v>
      </c>
      <c r="F215" s="3">
        <v>964</v>
      </c>
      <c r="G215" s="3">
        <v>20</v>
      </c>
      <c r="H215">
        <v>1.68</v>
      </c>
      <c r="I215" s="2">
        <v>24150.32</v>
      </c>
      <c r="J215" s="2">
        <v>28933.11</v>
      </c>
      <c r="K215">
        <v>77.41</v>
      </c>
      <c r="L215" t="s">
        <v>33</v>
      </c>
      <c r="M215">
        <f>MONTH(Manufacturing[[#This Row],[Production Date]])</f>
        <v>2</v>
      </c>
      <c r="N215">
        <f>YEAR(Manufacturing[[#This Row],[Production Date]])</f>
        <v>2025</v>
      </c>
      <c r="O215" t="str">
        <f t="shared" si="3"/>
        <v>20-29</v>
      </c>
    </row>
    <row r="216" spans="1:15">
      <c r="A216" t="s">
        <v>245</v>
      </c>
      <c r="B216" t="s">
        <v>21</v>
      </c>
      <c r="C216" t="s">
        <v>17</v>
      </c>
      <c r="D216" t="s">
        <v>18</v>
      </c>
      <c r="E216" s="1">
        <v>45645</v>
      </c>
      <c r="F216" s="3">
        <v>743</v>
      </c>
      <c r="G216" s="3">
        <v>6</v>
      </c>
      <c r="H216">
        <v>6.94</v>
      </c>
      <c r="I216" s="2">
        <v>33089.480000000003</v>
      </c>
      <c r="J216" s="2">
        <v>39163.379999999997</v>
      </c>
      <c r="K216">
        <v>81.84</v>
      </c>
      <c r="L216" t="s">
        <v>33</v>
      </c>
      <c r="M216">
        <f>MONTH(Manufacturing[[#This Row],[Production Date]])</f>
        <v>12</v>
      </c>
      <c r="N216">
        <f>YEAR(Manufacturing[[#This Row],[Production Date]])</f>
        <v>2024</v>
      </c>
      <c r="O216" t="str">
        <f t="shared" si="3"/>
        <v>0-9</v>
      </c>
    </row>
    <row r="217" spans="1:15">
      <c r="A217" t="s">
        <v>246</v>
      </c>
      <c r="B217" t="s">
        <v>31</v>
      </c>
      <c r="C217" t="s">
        <v>22</v>
      </c>
      <c r="D217" t="s">
        <v>23</v>
      </c>
      <c r="E217" s="1">
        <v>45593</v>
      </c>
      <c r="F217" s="3">
        <v>2091</v>
      </c>
      <c r="G217" s="3">
        <v>29</v>
      </c>
      <c r="H217">
        <v>4.9400000000000004</v>
      </c>
      <c r="I217" s="2">
        <v>8724.07</v>
      </c>
      <c r="J217" s="2">
        <v>10519.76</v>
      </c>
      <c r="K217">
        <v>71.52</v>
      </c>
      <c r="L217" t="s">
        <v>37</v>
      </c>
      <c r="M217">
        <f>MONTH(Manufacturing[[#This Row],[Production Date]])</f>
        <v>10</v>
      </c>
      <c r="N217">
        <f>YEAR(Manufacturing[[#This Row],[Production Date]])</f>
        <v>2024</v>
      </c>
      <c r="O217" t="str">
        <f t="shared" si="3"/>
        <v>20-29</v>
      </c>
    </row>
    <row r="218" spans="1:15">
      <c r="A218" t="s">
        <v>247</v>
      </c>
      <c r="B218" t="s">
        <v>21</v>
      </c>
      <c r="C218" t="s">
        <v>32</v>
      </c>
      <c r="D218" t="s">
        <v>23</v>
      </c>
      <c r="E218" s="1">
        <v>45745</v>
      </c>
      <c r="F218" s="3">
        <v>3183</v>
      </c>
      <c r="G218" s="3">
        <v>23</v>
      </c>
      <c r="H218">
        <v>9.42</v>
      </c>
      <c r="I218" s="2">
        <v>35465.81</v>
      </c>
      <c r="J218" s="2">
        <v>43339.72</v>
      </c>
      <c r="K218">
        <v>75</v>
      </c>
      <c r="L218" t="s">
        <v>24</v>
      </c>
      <c r="M218">
        <f>MONTH(Manufacturing[[#This Row],[Production Date]])</f>
        <v>3</v>
      </c>
      <c r="N218">
        <f>YEAR(Manufacturing[[#This Row],[Production Date]])</f>
        <v>2025</v>
      </c>
      <c r="O218" t="str">
        <f t="shared" si="3"/>
        <v>20-29</v>
      </c>
    </row>
    <row r="219" spans="1:15">
      <c r="A219" t="s">
        <v>248</v>
      </c>
      <c r="B219" t="s">
        <v>21</v>
      </c>
      <c r="C219" t="s">
        <v>22</v>
      </c>
      <c r="D219" t="s">
        <v>23</v>
      </c>
      <c r="E219" s="1">
        <v>45683</v>
      </c>
      <c r="F219" s="3">
        <v>1012</v>
      </c>
      <c r="G219" s="3">
        <v>21</v>
      </c>
      <c r="H219">
        <v>3.52</v>
      </c>
      <c r="I219" s="2">
        <v>35049.68</v>
      </c>
      <c r="J219" s="2">
        <v>39270.78</v>
      </c>
      <c r="K219">
        <v>89.87</v>
      </c>
      <c r="L219" t="s">
        <v>37</v>
      </c>
      <c r="M219">
        <f>MONTH(Manufacturing[[#This Row],[Production Date]])</f>
        <v>1</v>
      </c>
      <c r="N219">
        <f>YEAR(Manufacturing[[#This Row],[Production Date]])</f>
        <v>2025</v>
      </c>
      <c r="O219" t="str">
        <f t="shared" si="3"/>
        <v>20-29</v>
      </c>
    </row>
    <row r="220" spans="1:15">
      <c r="A220" t="s">
        <v>249</v>
      </c>
      <c r="B220" t="s">
        <v>21</v>
      </c>
      <c r="C220" t="s">
        <v>32</v>
      </c>
      <c r="D220" t="s">
        <v>18</v>
      </c>
      <c r="E220" s="1">
        <v>45791</v>
      </c>
      <c r="F220" s="3">
        <v>3437</v>
      </c>
      <c r="G220" s="3">
        <v>40</v>
      </c>
      <c r="H220">
        <v>3.04</v>
      </c>
      <c r="I220" s="2">
        <v>34511.32</v>
      </c>
      <c r="J220" s="2">
        <v>45872.05</v>
      </c>
      <c r="K220">
        <v>74.540000000000006</v>
      </c>
      <c r="L220" t="s">
        <v>29</v>
      </c>
      <c r="M220">
        <f>MONTH(Manufacturing[[#This Row],[Production Date]])</f>
        <v>5</v>
      </c>
      <c r="N220">
        <f>YEAR(Manufacturing[[#This Row],[Production Date]])</f>
        <v>2025</v>
      </c>
      <c r="O220" t="str">
        <f t="shared" si="3"/>
        <v>40-49</v>
      </c>
    </row>
    <row r="221" spans="1:15">
      <c r="A221" t="s">
        <v>250</v>
      </c>
      <c r="B221" t="s">
        <v>31</v>
      </c>
      <c r="C221" t="s">
        <v>22</v>
      </c>
      <c r="D221" t="s">
        <v>27</v>
      </c>
      <c r="E221" s="1">
        <v>45909</v>
      </c>
      <c r="F221" s="3">
        <v>3173</v>
      </c>
      <c r="G221" s="3">
        <v>25</v>
      </c>
      <c r="H221">
        <v>4.7300000000000004</v>
      </c>
      <c r="I221" s="2">
        <v>26519.23</v>
      </c>
      <c r="J221" s="2">
        <v>37602.65</v>
      </c>
      <c r="K221">
        <v>85.42</v>
      </c>
      <c r="L221" t="s">
        <v>33</v>
      </c>
      <c r="M221">
        <f>MONTH(Manufacturing[[#This Row],[Production Date]])</f>
        <v>9</v>
      </c>
      <c r="N221">
        <f>YEAR(Manufacturing[[#This Row],[Production Date]])</f>
        <v>2025</v>
      </c>
      <c r="O221" t="str">
        <f t="shared" si="3"/>
        <v>20-29</v>
      </c>
    </row>
    <row r="222" spans="1:15">
      <c r="A222" t="s">
        <v>251</v>
      </c>
      <c r="B222" t="s">
        <v>26</v>
      </c>
      <c r="C222" t="s">
        <v>22</v>
      </c>
      <c r="D222" t="s">
        <v>23</v>
      </c>
      <c r="E222" s="1">
        <v>45862</v>
      </c>
      <c r="F222" s="3">
        <v>1396</v>
      </c>
      <c r="G222" s="3">
        <v>25</v>
      </c>
      <c r="H222">
        <v>0.5</v>
      </c>
      <c r="I222" s="2">
        <v>32833.93</v>
      </c>
      <c r="J222" s="2">
        <v>41866.300000000003</v>
      </c>
      <c r="K222">
        <v>87.52</v>
      </c>
      <c r="L222" t="s">
        <v>37</v>
      </c>
      <c r="M222">
        <f>MONTH(Manufacturing[[#This Row],[Production Date]])</f>
        <v>7</v>
      </c>
      <c r="N222">
        <f>YEAR(Manufacturing[[#This Row],[Production Date]])</f>
        <v>2025</v>
      </c>
      <c r="O222" t="str">
        <f t="shared" si="3"/>
        <v>20-29</v>
      </c>
    </row>
    <row r="223" spans="1:15">
      <c r="A223" t="s">
        <v>252</v>
      </c>
      <c r="B223" t="s">
        <v>31</v>
      </c>
      <c r="C223" t="s">
        <v>32</v>
      </c>
      <c r="D223" t="s">
        <v>27</v>
      </c>
      <c r="E223" s="1">
        <v>45859</v>
      </c>
      <c r="F223" s="3">
        <v>1896</v>
      </c>
      <c r="G223" s="3">
        <v>9</v>
      </c>
      <c r="H223">
        <v>9.8699999999999992</v>
      </c>
      <c r="I223" s="2">
        <v>20955.11</v>
      </c>
      <c r="J223" s="2">
        <v>30829.01</v>
      </c>
      <c r="K223">
        <v>94.58</v>
      </c>
      <c r="L223" t="s">
        <v>19</v>
      </c>
      <c r="M223">
        <f>MONTH(Manufacturing[[#This Row],[Production Date]])</f>
        <v>7</v>
      </c>
      <c r="N223">
        <f>YEAR(Manufacturing[[#This Row],[Production Date]])</f>
        <v>2025</v>
      </c>
      <c r="O223" t="str">
        <f t="shared" si="3"/>
        <v>0-9</v>
      </c>
    </row>
    <row r="224" spans="1:15">
      <c r="A224" t="s">
        <v>253</v>
      </c>
      <c r="B224" t="s">
        <v>31</v>
      </c>
      <c r="C224" t="s">
        <v>32</v>
      </c>
      <c r="D224" t="s">
        <v>27</v>
      </c>
      <c r="E224" s="1">
        <v>45645</v>
      </c>
      <c r="F224" s="3">
        <v>467</v>
      </c>
      <c r="G224" s="3">
        <v>14</v>
      </c>
      <c r="H224">
        <v>6.16</v>
      </c>
      <c r="I224" s="2">
        <v>28041.119999999999</v>
      </c>
      <c r="J224" s="2">
        <v>35808.370000000003</v>
      </c>
      <c r="K224">
        <v>78.34</v>
      </c>
      <c r="L224" t="s">
        <v>29</v>
      </c>
      <c r="M224">
        <f>MONTH(Manufacturing[[#This Row],[Production Date]])</f>
        <v>12</v>
      </c>
      <c r="N224">
        <f>YEAR(Manufacturing[[#This Row],[Production Date]])</f>
        <v>2024</v>
      </c>
      <c r="O224" t="str">
        <f t="shared" si="3"/>
        <v>10-19</v>
      </c>
    </row>
    <row r="225" spans="1:15">
      <c r="A225" t="s">
        <v>254</v>
      </c>
      <c r="B225" t="s">
        <v>31</v>
      </c>
      <c r="C225" t="s">
        <v>22</v>
      </c>
      <c r="D225" t="s">
        <v>27</v>
      </c>
      <c r="E225" s="1">
        <v>45689</v>
      </c>
      <c r="F225" s="3">
        <v>3140</v>
      </c>
      <c r="G225" s="3">
        <v>16</v>
      </c>
      <c r="H225">
        <v>6.37</v>
      </c>
      <c r="I225" s="2">
        <v>43099.17</v>
      </c>
      <c r="J225" s="2">
        <v>63736.9</v>
      </c>
      <c r="K225">
        <v>80</v>
      </c>
      <c r="L225" t="s">
        <v>37</v>
      </c>
      <c r="M225">
        <f>MONTH(Manufacturing[[#This Row],[Production Date]])</f>
        <v>2</v>
      </c>
      <c r="N225">
        <f>YEAR(Manufacturing[[#This Row],[Production Date]])</f>
        <v>2025</v>
      </c>
      <c r="O225" t="str">
        <f t="shared" si="3"/>
        <v>10-19</v>
      </c>
    </row>
    <row r="226" spans="1:15">
      <c r="A226" t="s">
        <v>255</v>
      </c>
      <c r="B226" t="s">
        <v>26</v>
      </c>
      <c r="C226" t="s">
        <v>32</v>
      </c>
      <c r="D226" t="s">
        <v>23</v>
      </c>
      <c r="E226" s="1">
        <v>45639</v>
      </c>
      <c r="F226" s="3">
        <v>2643</v>
      </c>
      <c r="G226" s="3">
        <v>17</v>
      </c>
      <c r="H226">
        <v>5.32</v>
      </c>
      <c r="I226" s="2">
        <v>10936.93</v>
      </c>
      <c r="J226" s="2">
        <v>15875.03</v>
      </c>
      <c r="K226">
        <v>96.39</v>
      </c>
      <c r="L226" t="s">
        <v>37</v>
      </c>
      <c r="M226">
        <f>MONTH(Manufacturing[[#This Row],[Production Date]])</f>
        <v>12</v>
      </c>
      <c r="N226">
        <f>YEAR(Manufacturing[[#This Row],[Production Date]])</f>
        <v>2024</v>
      </c>
      <c r="O226" t="str">
        <f t="shared" si="3"/>
        <v>10-19</v>
      </c>
    </row>
    <row r="227" spans="1:15">
      <c r="A227" t="s">
        <v>256</v>
      </c>
      <c r="B227" t="s">
        <v>21</v>
      </c>
      <c r="C227" t="s">
        <v>22</v>
      </c>
      <c r="D227" t="s">
        <v>23</v>
      </c>
      <c r="E227" s="1">
        <v>45815</v>
      </c>
      <c r="F227" s="3">
        <v>1604</v>
      </c>
      <c r="G227" s="3">
        <v>6</v>
      </c>
      <c r="H227">
        <v>3.71</v>
      </c>
      <c r="I227" s="2">
        <v>32451.57</v>
      </c>
      <c r="J227" s="2">
        <v>35865.11</v>
      </c>
      <c r="K227">
        <v>91.39</v>
      </c>
      <c r="L227" t="s">
        <v>33</v>
      </c>
      <c r="M227">
        <f>MONTH(Manufacturing[[#This Row],[Production Date]])</f>
        <v>6</v>
      </c>
      <c r="N227">
        <f>YEAR(Manufacturing[[#This Row],[Production Date]])</f>
        <v>2025</v>
      </c>
      <c r="O227" t="str">
        <f t="shared" si="3"/>
        <v>0-9</v>
      </c>
    </row>
    <row r="228" spans="1:15">
      <c r="A228" t="s">
        <v>257</v>
      </c>
      <c r="B228" t="s">
        <v>21</v>
      </c>
      <c r="C228" t="s">
        <v>32</v>
      </c>
      <c r="D228" t="s">
        <v>27</v>
      </c>
      <c r="E228" s="1">
        <v>45856</v>
      </c>
      <c r="F228" s="3">
        <v>111</v>
      </c>
      <c r="G228" s="3">
        <v>37</v>
      </c>
      <c r="H228">
        <v>2.96</v>
      </c>
      <c r="I228" s="2">
        <v>9796.83</v>
      </c>
      <c r="J228" s="2">
        <v>10912.26</v>
      </c>
      <c r="K228">
        <v>98.03</v>
      </c>
      <c r="L228" t="s">
        <v>29</v>
      </c>
      <c r="M228">
        <f>MONTH(Manufacturing[[#This Row],[Production Date]])</f>
        <v>7</v>
      </c>
      <c r="N228">
        <f>YEAR(Manufacturing[[#This Row],[Production Date]])</f>
        <v>2025</v>
      </c>
      <c r="O228" t="str">
        <f t="shared" si="3"/>
        <v>30-39</v>
      </c>
    </row>
    <row r="229" spans="1:15">
      <c r="A229" t="s">
        <v>258</v>
      </c>
      <c r="B229" t="s">
        <v>31</v>
      </c>
      <c r="C229" t="s">
        <v>32</v>
      </c>
      <c r="D229" t="s">
        <v>23</v>
      </c>
      <c r="E229" s="1">
        <v>45936</v>
      </c>
      <c r="F229" s="3">
        <v>4861</v>
      </c>
      <c r="G229" s="3">
        <v>32</v>
      </c>
      <c r="H229">
        <v>8.3699999999999992</v>
      </c>
      <c r="I229" s="2">
        <v>33443.53</v>
      </c>
      <c r="J229" s="2">
        <v>38761.71</v>
      </c>
      <c r="K229">
        <v>91.49</v>
      </c>
      <c r="L229" t="s">
        <v>29</v>
      </c>
      <c r="M229">
        <f>MONTH(Manufacturing[[#This Row],[Production Date]])</f>
        <v>10</v>
      </c>
      <c r="N229">
        <f>YEAR(Manufacturing[[#This Row],[Production Date]])</f>
        <v>2025</v>
      </c>
      <c r="O229" t="str">
        <f t="shared" si="3"/>
        <v>30-39</v>
      </c>
    </row>
    <row r="230" spans="1:15">
      <c r="A230" t="s">
        <v>259</v>
      </c>
      <c r="B230" t="s">
        <v>21</v>
      </c>
      <c r="C230" t="s">
        <v>17</v>
      </c>
      <c r="D230" t="s">
        <v>18</v>
      </c>
      <c r="E230" s="1">
        <v>45832</v>
      </c>
      <c r="F230" s="3">
        <v>4960</v>
      </c>
      <c r="G230" s="3">
        <v>2</v>
      </c>
      <c r="H230">
        <v>0.16</v>
      </c>
      <c r="I230" s="2">
        <v>29804.69</v>
      </c>
      <c r="J230" s="2">
        <v>36053.089999999997</v>
      </c>
      <c r="K230">
        <v>74.58</v>
      </c>
      <c r="L230" t="s">
        <v>19</v>
      </c>
      <c r="M230">
        <f>MONTH(Manufacturing[[#This Row],[Production Date]])</f>
        <v>6</v>
      </c>
      <c r="N230">
        <f>YEAR(Manufacturing[[#This Row],[Production Date]])</f>
        <v>2025</v>
      </c>
      <c r="O230" t="str">
        <f t="shared" si="3"/>
        <v>0-9</v>
      </c>
    </row>
    <row r="231" spans="1:15">
      <c r="A231" t="s">
        <v>260</v>
      </c>
      <c r="B231" t="s">
        <v>31</v>
      </c>
      <c r="C231" t="s">
        <v>17</v>
      </c>
      <c r="D231" t="s">
        <v>27</v>
      </c>
      <c r="E231" s="1">
        <v>45847</v>
      </c>
      <c r="F231" s="3">
        <v>3824</v>
      </c>
      <c r="G231" s="3">
        <v>43</v>
      </c>
      <c r="H231">
        <v>1.1200000000000001</v>
      </c>
      <c r="I231" s="2">
        <v>41313.980000000003</v>
      </c>
      <c r="J231" s="2">
        <v>49951.79</v>
      </c>
      <c r="K231">
        <v>87.29</v>
      </c>
      <c r="L231" t="s">
        <v>33</v>
      </c>
      <c r="M231">
        <f>MONTH(Manufacturing[[#This Row],[Production Date]])</f>
        <v>7</v>
      </c>
      <c r="N231">
        <f>YEAR(Manufacturing[[#This Row],[Production Date]])</f>
        <v>2025</v>
      </c>
      <c r="O231" t="str">
        <f t="shared" si="3"/>
        <v>40-49</v>
      </c>
    </row>
    <row r="232" spans="1:15">
      <c r="A232" t="s">
        <v>261</v>
      </c>
      <c r="B232" t="s">
        <v>26</v>
      </c>
      <c r="C232" t="s">
        <v>32</v>
      </c>
      <c r="D232" t="s">
        <v>27</v>
      </c>
      <c r="E232" s="1">
        <v>45665</v>
      </c>
      <c r="F232" s="3">
        <v>463</v>
      </c>
      <c r="G232" s="3">
        <v>8</v>
      </c>
      <c r="H232">
        <v>6.82</v>
      </c>
      <c r="I232" s="2">
        <v>38937.949999999997</v>
      </c>
      <c r="J232" s="2">
        <v>50899.65</v>
      </c>
      <c r="K232">
        <v>82.67</v>
      </c>
      <c r="L232" t="s">
        <v>37</v>
      </c>
      <c r="M232">
        <f>MONTH(Manufacturing[[#This Row],[Production Date]])</f>
        <v>1</v>
      </c>
      <c r="N232">
        <f>YEAR(Manufacturing[[#This Row],[Production Date]])</f>
        <v>2025</v>
      </c>
      <c r="O232" t="str">
        <f t="shared" si="3"/>
        <v>0-9</v>
      </c>
    </row>
    <row r="233" spans="1:15">
      <c r="A233" t="s">
        <v>262</v>
      </c>
      <c r="B233" t="s">
        <v>21</v>
      </c>
      <c r="C233" t="s">
        <v>17</v>
      </c>
      <c r="D233" t="s">
        <v>27</v>
      </c>
      <c r="E233" s="1">
        <v>45720</v>
      </c>
      <c r="F233" s="3">
        <v>4771</v>
      </c>
      <c r="G233" s="3">
        <v>43</v>
      </c>
      <c r="H233">
        <v>6.29</v>
      </c>
      <c r="I233" s="2">
        <v>49495.14</v>
      </c>
      <c r="J233" s="2">
        <v>60377.27</v>
      </c>
      <c r="K233">
        <v>90.44</v>
      </c>
      <c r="L233" t="s">
        <v>37</v>
      </c>
      <c r="M233">
        <f>MONTH(Manufacturing[[#This Row],[Production Date]])</f>
        <v>3</v>
      </c>
      <c r="N233">
        <f>YEAR(Manufacturing[[#This Row],[Production Date]])</f>
        <v>2025</v>
      </c>
      <c r="O233" t="str">
        <f t="shared" si="3"/>
        <v>40-49</v>
      </c>
    </row>
    <row r="234" spans="1:15">
      <c r="A234" t="s">
        <v>263</v>
      </c>
      <c r="B234" t="s">
        <v>31</v>
      </c>
      <c r="C234" t="s">
        <v>22</v>
      </c>
      <c r="D234" t="s">
        <v>23</v>
      </c>
      <c r="E234" s="1">
        <v>45861</v>
      </c>
      <c r="F234" s="3">
        <v>785</v>
      </c>
      <c r="G234" s="3">
        <v>34</v>
      </c>
      <c r="H234">
        <v>9.34</v>
      </c>
      <c r="I234" s="2">
        <v>13746.64</v>
      </c>
      <c r="J234" s="2">
        <v>17427.52</v>
      </c>
      <c r="K234">
        <v>80.2</v>
      </c>
      <c r="L234" t="s">
        <v>19</v>
      </c>
      <c r="M234">
        <f>MONTH(Manufacturing[[#This Row],[Production Date]])</f>
        <v>7</v>
      </c>
      <c r="N234">
        <f>YEAR(Manufacturing[[#This Row],[Production Date]])</f>
        <v>2025</v>
      </c>
      <c r="O234" t="str">
        <f t="shared" si="3"/>
        <v>30-39</v>
      </c>
    </row>
    <row r="235" spans="1:15">
      <c r="A235" t="s">
        <v>264</v>
      </c>
      <c r="B235" t="s">
        <v>31</v>
      </c>
      <c r="C235" t="s">
        <v>17</v>
      </c>
      <c r="D235" t="s">
        <v>18</v>
      </c>
      <c r="E235" s="1">
        <v>45781</v>
      </c>
      <c r="F235" s="3">
        <v>477</v>
      </c>
      <c r="G235" s="3">
        <v>35</v>
      </c>
      <c r="H235">
        <v>4.55</v>
      </c>
      <c r="I235" s="2">
        <v>16377.46</v>
      </c>
      <c r="J235" s="2">
        <v>19772.37</v>
      </c>
      <c r="K235">
        <v>98.09</v>
      </c>
      <c r="L235" t="s">
        <v>29</v>
      </c>
      <c r="M235">
        <f>MONTH(Manufacturing[[#This Row],[Production Date]])</f>
        <v>5</v>
      </c>
      <c r="N235">
        <f>YEAR(Manufacturing[[#This Row],[Production Date]])</f>
        <v>2025</v>
      </c>
      <c r="O235" t="str">
        <f t="shared" si="3"/>
        <v>30-39</v>
      </c>
    </row>
    <row r="236" spans="1:15">
      <c r="A236" t="s">
        <v>265</v>
      </c>
      <c r="B236" t="s">
        <v>16</v>
      </c>
      <c r="C236" t="s">
        <v>22</v>
      </c>
      <c r="D236" t="s">
        <v>23</v>
      </c>
      <c r="E236" s="1">
        <v>45767</v>
      </c>
      <c r="F236" s="3">
        <v>2444</v>
      </c>
      <c r="G236" s="3">
        <v>32</v>
      </c>
      <c r="H236">
        <v>2.25</v>
      </c>
      <c r="I236" s="2">
        <v>28229.43</v>
      </c>
      <c r="J236" s="2">
        <v>41144.35</v>
      </c>
      <c r="K236">
        <v>93.61</v>
      </c>
      <c r="L236" t="s">
        <v>37</v>
      </c>
      <c r="M236">
        <f>MONTH(Manufacturing[[#This Row],[Production Date]])</f>
        <v>4</v>
      </c>
      <c r="N236">
        <f>YEAR(Manufacturing[[#This Row],[Production Date]])</f>
        <v>2025</v>
      </c>
      <c r="O236" t="str">
        <f t="shared" si="3"/>
        <v>30-39</v>
      </c>
    </row>
    <row r="237" spans="1:15">
      <c r="A237" t="s">
        <v>266</v>
      </c>
      <c r="B237" t="s">
        <v>21</v>
      </c>
      <c r="C237" t="s">
        <v>32</v>
      </c>
      <c r="D237" t="s">
        <v>27</v>
      </c>
      <c r="E237" s="1">
        <v>45746</v>
      </c>
      <c r="F237" s="3">
        <v>3248</v>
      </c>
      <c r="G237" s="3">
        <v>0</v>
      </c>
      <c r="H237">
        <v>5.69</v>
      </c>
      <c r="I237" s="2">
        <v>19591.03</v>
      </c>
      <c r="J237" s="2">
        <v>22981.919999999998</v>
      </c>
      <c r="K237">
        <v>76.319999999999993</v>
      </c>
      <c r="L237" t="s">
        <v>19</v>
      </c>
      <c r="M237">
        <f>MONTH(Manufacturing[[#This Row],[Production Date]])</f>
        <v>3</v>
      </c>
      <c r="N237">
        <f>YEAR(Manufacturing[[#This Row],[Production Date]])</f>
        <v>2025</v>
      </c>
      <c r="O237" t="str">
        <f t="shared" si="3"/>
        <v>0-9</v>
      </c>
    </row>
    <row r="238" spans="1:15">
      <c r="A238" t="s">
        <v>267</v>
      </c>
      <c r="B238" t="s">
        <v>21</v>
      </c>
      <c r="C238" t="s">
        <v>17</v>
      </c>
      <c r="D238" t="s">
        <v>18</v>
      </c>
      <c r="E238" s="1">
        <v>45767</v>
      </c>
      <c r="F238" s="3">
        <v>1445</v>
      </c>
      <c r="G238" s="3">
        <v>36</v>
      </c>
      <c r="H238">
        <v>2.99</v>
      </c>
      <c r="I238" s="2">
        <v>25663.97</v>
      </c>
      <c r="J238" s="2">
        <v>29549.119999999999</v>
      </c>
      <c r="K238">
        <v>80.569999999999993</v>
      </c>
      <c r="L238" t="s">
        <v>19</v>
      </c>
      <c r="M238">
        <f>MONTH(Manufacturing[[#This Row],[Production Date]])</f>
        <v>4</v>
      </c>
      <c r="N238">
        <f>YEAR(Manufacturing[[#This Row],[Production Date]])</f>
        <v>2025</v>
      </c>
      <c r="O238" t="str">
        <f t="shared" si="3"/>
        <v>30-39</v>
      </c>
    </row>
    <row r="239" spans="1:15">
      <c r="A239" t="s">
        <v>268</v>
      </c>
      <c r="B239" t="s">
        <v>16</v>
      </c>
      <c r="C239" t="s">
        <v>22</v>
      </c>
      <c r="D239" t="s">
        <v>18</v>
      </c>
      <c r="E239" s="1">
        <v>45930</v>
      </c>
      <c r="F239" s="3">
        <v>1483</v>
      </c>
      <c r="G239" s="3">
        <v>11</v>
      </c>
      <c r="H239">
        <v>0.55000000000000004</v>
      </c>
      <c r="I239" s="2">
        <v>44247.23</v>
      </c>
      <c r="J239" s="2">
        <v>51101.3</v>
      </c>
      <c r="K239">
        <v>95.78</v>
      </c>
      <c r="L239" t="s">
        <v>33</v>
      </c>
      <c r="M239">
        <f>MONTH(Manufacturing[[#This Row],[Production Date]])</f>
        <v>9</v>
      </c>
      <c r="N239">
        <f>YEAR(Manufacturing[[#This Row],[Production Date]])</f>
        <v>2025</v>
      </c>
      <c r="O239" t="str">
        <f t="shared" si="3"/>
        <v>10-19</v>
      </c>
    </row>
    <row r="240" spans="1:15">
      <c r="A240" t="s">
        <v>269</v>
      </c>
      <c r="B240" t="s">
        <v>26</v>
      </c>
      <c r="C240" t="s">
        <v>32</v>
      </c>
      <c r="D240" t="s">
        <v>18</v>
      </c>
      <c r="E240" s="1">
        <v>45833</v>
      </c>
      <c r="F240" s="3">
        <v>3213</v>
      </c>
      <c r="G240" s="3">
        <v>18</v>
      </c>
      <c r="H240">
        <v>2.5299999999999998</v>
      </c>
      <c r="I240" s="2">
        <v>39699.75</v>
      </c>
      <c r="J240" s="2">
        <v>54443.85</v>
      </c>
      <c r="K240">
        <v>96.28</v>
      </c>
      <c r="L240" t="s">
        <v>19</v>
      </c>
      <c r="M240">
        <f>MONTH(Manufacturing[[#This Row],[Production Date]])</f>
        <v>6</v>
      </c>
      <c r="N240">
        <f>YEAR(Manufacturing[[#This Row],[Production Date]])</f>
        <v>2025</v>
      </c>
      <c r="O240" t="str">
        <f t="shared" si="3"/>
        <v>10-19</v>
      </c>
    </row>
    <row r="241" spans="1:15">
      <c r="A241" t="s">
        <v>270</v>
      </c>
      <c r="B241" t="s">
        <v>31</v>
      </c>
      <c r="C241" t="s">
        <v>32</v>
      </c>
      <c r="D241" t="s">
        <v>18</v>
      </c>
      <c r="E241" s="1">
        <v>45724</v>
      </c>
      <c r="F241" s="3">
        <v>2231</v>
      </c>
      <c r="G241" s="3">
        <v>24</v>
      </c>
      <c r="H241">
        <v>5.1100000000000003</v>
      </c>
      <c r="I241" s="2">
        <v>29328.13</v>
      </c>
      <c r="J241" s="2">
        <v>32753.01</v>
      </c>
      <c r="K241">
        <v>84.74</v>
      </c>
      <c r="L241" t="s">
        <v>24</v>
      </c>
      <c r="M241">
        <f>MONTH(Manufacturing[[#This Row],[Production Date]])</f>
        <v>3</v>
      </c>
      <c r="N241">
        <f>YEAR(Manufacturing[[#This Row],[Production Date]])</f>
        <v>2025</v>
      </c>
      <c r="O241" t="str">
        <f t="shared" si="3"/>
        <v>20-29</v>
      </c>
    </row>
    <row r="242" spans="1:15">
      <c r="A242" t="s">
        <v>271</v>
      </c>
      <c r="B242" t="s">
        <v>16</v>
      </c>
      <c r="C242" t="s">
        <v>22</v>
      </c>
      <c r="D242" t="s">
        <v>18</v>
      </c>
      <c r="E242" s="1">
        <v>45874</v>
      </c>
      <c r="F242" s="3">
        <v>4999</v>
      </c>
      <c r="G242" s="3">
        <v>19</v>
      </c>
      <c r="H242">
        <v>4.12</v>
      </c>
      <c r="I242" s="2">
        <v>39417.339999999997</v>
      </c>
      <c r="J242" s="2">
        <v>46941.95</v>
      </c>
      <c r="K242">
        <v>76.78</v>
      </c>
      <c r="L242" t="s">
        <v>24</v>
      </c>
      <c r="M242">
        <f>MONTH(Manufacturing[[#This Row],[Production Date]])</f>
        <v>8</v>
      </c>
      <c r="N242">
        <f>YEAR(Manufacturing[[#This Row],[Production Date]])</f>
        <v>2025</v>
      </c>
      <c r="O242" t="str">
        <f t="shared" si="3"/>
        <v>10-19</v>
      </c>
    </row>
    <row r="243" spans="1:15">
      <c r="A243" t="s">
        <v>272</v>
      </c>
      <c r="B243" t="s">
        <v>26</v>
      </c>
      <c r="C243" t="s">
        <v>17</v>
      </c>
      <c r="D243" t="s">
        <v>23</v>
      </c>
      <c r="E243" s="1">
        <v>45868</v>
      </c>
      <c r="F243" s="3">
        <v>2347</v>
      </c>
      <c r="G243" s="3">
        <v>43</v>
      </c>
      <c r="H243">
        <v>6.47</v>
      </c>
      <c r="I243" s="2">
        <v>18170.349999999999</v>
      </c>
      <c r="J243" s="2">
        <v>27149.03</v>
      </c>
      <c r="K243">
        <v>99.69</v>
      </c>
      <c r="L243" t="s">
        <v>37</v>
      </c>
      <c r="M243">
        <f>MONTH(Manufacturing[[#This Row],[Production Date]])</f>
        <v>7</v>
      </c>
      <c r="N243">
        <f>YEAR(Manufacturing[[#This Row],[Production Date]])</f>
        <v>2025</v>
      </c>
      <c r="O243" t="str">
        <f t="shared" si="3"/>
        <v>40-49</v>
      </c>
    </row>
    <row r="244" spans="1:15">
      <c r="A244" t="s">
        <v>273</v>
      </c>
      <c r="B244" t="s">
        <v>36</v>
      </c>
      <c r="C244" t="s">
        <v>32</v>
      </c>
      <c r="D244" t="s">
        <v>27</v>
      </c>
      <c r="E244" s="1">
        <v>45754</v>
      </c>
      <c r="F244" s="3">
        <v>3687</v>
      </c>
      <c r="G244" s="3">
        <v>15</v>
      </c>
      <c r="H244">
        <v>2.09</v>
      </c>
      <c r="I244" s="2">
        <v>41804.31</v>
      </c>
      <c r="J244" s="2">
        <v>47069.46</v>
      </c>
      <c r="K244">
        <v>97.91</v>
      </c>
      <c r="L244" t="s">
        <v>19</v>
      </c>
      <c r="M244">
        <f>MONTH(Manufacturing[[#This Row],[Production Date]])</f>
        <v>4</v>
      </c>
      <c r="N244">
        <f>YEAR(Manufacturing[[#This Row],[Production Date]])</f>
        <v>2025</v>
      </c>
      <c r="O244" t="str">
        <f t="shared" si="3"/>
        <v>10-19</v>
      </c>
    </row>
    <row r="245" spans="1:15">
      <c r="A245" t="s">
        <v>274</v>
      </c>
      <c r="B245" t="s">
        <v>36</v>
      </c>
      <c r="C245" t="s">
        <v>22</v>
      </c>
      <c r="D245" t="s">
        <v>23</v>
      </c>
      <c r="E245" s="1">
        <v>45608</v>
      </c>
      <c r="F245" s="3">
        <v>2685</v>
      </c>
      <c r="G245" s="3">
        <v>29</v>
      </c>
      <c r="H245">
        <v>7.84</v>
      </c>
      <c r="I245" s="2">
        <v>34648.6</v>
      </c>
      <c r="J245" s="2">
        <v>49360.54</v>
      </c>
      <c r="K245">
        <v>91.22</v>
      </c>
      <c r="L245" t="s">
        <v>33</v>
      </c>
      <c r="M245">
        <f>MONTH(Manufacturing[[#This Row],[Production Date]])</f>
        <v>11</v>
      </c>
      <c r="N245">
        <f>YEAR(Manufacturing[[#This Row],[Production Date]])</f>
        <v>2024</v>
      </c>
      <c r="O245" t="str">
        <f t="shared" si="3"/>
        <v>20-29</v>
      </c>
    </row>
    <row r="246" spans="1:15">
      <c r="A246" t="s">
        <v>275</v>
      </c>
      <c r="B246" t="s">
        <v>26</v>
      </c>
      <c r="C246" t="s">
        <v>17</v>
      </c>
      <c r="D246" t="s">
        <v>27</v>
      </c>
      <c r="E246" s="1">
        <v>45659</v>
      </c>
      <c r="F246" s="3">
        <v>3711</v>
      </c>
      <c r="G246" s="3">
        <v>0</v>
      </c>
      <c r="H246">
        <v>1.44</v>
      </c>
      <c r="I246" s="2">
        <v>3375.21</v>
      </c>
      <c r="J246" s="2">
        <v>4463.9399999999996</v>
      </c>
      <c r="K246">
        <v>70.36</v>
      </c>
      <c r="L246" t="s">
        <v>24</v>
      </c>
      <c r="M246">
        <f>MONTH(Manufacturing[[#This Row],[Production Date]])</f>
        <v>1</v>
      </c>
      <c r="N246">
        <f>YEAR(Manufacturing[[#This Row],[Production Date]])</f>
        <v>2025</v>
      </c>
      <c r="O246" t="str">
        <f t="shared" si="3"/>
        <v>0-9</v>
      </c>
    </row>
    <row r="247" spans="1:15">
      <c r="A247" t="s">
        <v>276</v>
      </c>
      <c r="B247" t="s">
        <v>16</v>
      </c>
      <c r="C247" t="s">
        <v>17</v>
      </c>
      <c r="D247" t="s">
        <v>23</v>
      </c>
      <c r="E247" s="1">
        <v>45777</v>
      </c>
      <c r="F247" s="3">
        <v>327</v>
      </c>
      <c r="G247" s="3">
        <v>15</v>
      </c>
      <c r="H247">
        <v>4.78</v>
      </c>
      <c r="I247" s="2">
        <v>6848.67</v>
      </c>
      <c r="J247" s="2">
        <v>8180.33</v>
      </c>
      <c r="K247">
        <v>78.400000000000006</v>
      </c>
      <c r="L247" t="s">
        <v>29</v>
      </c>
      <c r="M247">
        <f>MONTH(Manufacturing[[#This Row],[Production Date]])</f>
        <v>4</v>
      </c>
      <c r="N247">
        <f>YEAR(Manufacturing[[#This Row],[Production Date]])</f>
        <v>2025</v>
      </c>
      <c r="O247" t="str">
        <f t="shared" si="3"/>
        <v>10-19</v>
      </c>
    </row>
    <row r="248" spans="1:15">
      <c r="A248" t="s">
        <v>277</v>
      </c>
      <c r="B248" t="s">
        <v>21</v>
      </c>
      <c r="C248" t="s">
        <v>22</v>
      </c>
      <c r="D248" t="s">
        <v>23</v>
      </c>
      <c r="E248" s="1">
        <v>45675</v>
      </c>
      <c r="F248" s="3">
        <v>168</v>
      </c>
      <c r="G248" s="3">
        <v>16</v>
      </c>
      <c r="H248">
        <v>0.39</v>
      </c>
      <c r="I248" s="2">
        <v>18836.990000000002</v>
      </c>
      <c r="J248" s="2">
        <v>22510.560000000001</v>
      </c>
      <c r="K248">
        <v>80.489999999999995</v>
      </c>
      <c r="L248" t="s">
        <v>29</v>
      </c>
      <c r="M248">
        <f>MONTH(Manufacturing[[#This Row],[Production Date]])</f>
        <v>1</v>
      </c>
      <c r="N248">
        <f>YEAR(Manufacturing[[#This Row],[Production Date]])</f>
        <v>2025</v>
      </c>
      <c r="O248" t="str">
        <f t="shared" si="3"/>
        <v>10-19</v>
      </c>
    </row>
    <row r="249" spans="1:15">
      <c r="A249" t="s">
        <v>278</v>
      </c>
      <c r="B249" t="s">
        <v>16</v>
      </c>
      <c r="C249" t="s">
        <v>32</v>
      </c>
      <c r="D249" t="s">
        <v>23</v>
      </c>
      <c r="E249" s="1">
        <v>45869</v>
      </c>
      <c r="F249" s="3">
        <v>2079</v>
      </c>
      <c r="G249" s="3">
        <v>41</v>
      </c>
      <c r="H249">
        <v>8.09</v>
      </c>
      <c r="I249" s="2">
        <v>15925.99</v>
      </c>
      <c r="J249" s="2">
        <v>20922.27</v>
      </c>
      <c r="K249">
        <v>78.83</v>
      </c>
      <c r="L249" t="s">
        <v>37</v>
      </c>
      <c r="M249">
        <f>MONTH(Manufacturing[[#This Row],[Production Date]])</f>
        <v>7</v>
      </c>
      <c r="N249">
        <f>YEAR(Manufacturing[[#This Row],[Production Date]])</f>
        <v>2025</v>
      </c>
      <c r="O249" t="str">
        <f t="shared" si="3"/>
        <v>40-49</v>
      </c>
    </row>
    <row r="250" spans="1:15">
      <c r="A250" t="s">
        <v>279</v>
      </c>
      <c r="B250" t="s">
        <v>31</v>
      </c>
      <c r="C250" t="s">
        <v>22</v>
      </c>
      <c r="D250" t="s">
        <v>23</v>
      </c>
      <c r="E250" s="1">
        <v>45834</v>
      </c>
      <c r="F250" s="3">
        <v>2697</v>
      </c>
      <c r="G250" s="3">
        <v>20</v>
      </c>
      <c r="H250">
        <v>1.32</v>
      </c>
      <c r="I250" s="2">
        <v>16569.16</v>
      </c>
      <c r="J250" s="2">
        <v>22878.99</v>
      </c>
      <c r="K250">
        <v>71.23</v>
      </c>
      <c r="L250" t="s">
        <v>29</v>
      </c>
      <c r="M250">
        <f>MONTH(Manufacturing[[#This Row],[Production Date]])</f>
        <v>6</v>
      </c>
      <c r="N250">
        <f>YEAR(Manufacturing[[#This Row],[Production Date]])</f>
        <v>2025</v>
      </c>
      <c r="O250" t="str">
        <f t="shared" si="3"/>
        <v>20-29</v>
      </c>
    </row>
    <row r="251" spans="1:15">
      <c r="A251" t="s">
        <v>280</v>
      </c>
      <c r="B251" t="s">
        <v>26</v>
      </c>
      <c r="C251" t="s">
        <v>17</v>
      </c>
      <c r="D251" t="s">
        <v>23</v>
      </c>
      <c r="E251" s="1">
        <v>45955</v>
      </c>
      <c r="F251" s="3">
        <v>3344</v>
      </c>
      <c r="G251" s="3">
        <v>37</v>
      </c>
      <c r="H251">
        <v>6.14</v>
      </c>
      <c r="I251" s="2">
        <v>29282.720000000001</v>
      </c>
      <c r="J251" s="2">
        <v>43307.4</v>
      </c>
      <c r="K251">
        <v>97.63</v>
      </c>
      <c r="L251" t="s">
        <v>24</v>
      </c>
      <c r="M251">
        <f>MONTH(Manufacturing[[#This Row],[Production Date]])</f>
        <v>10</v>
      </c>
      <c r="N251">
        <f>YEAR(Manufacturing[[#This Row],[Production Date]])</f>
        <v>2025</v>
      </c>
      <c r="O251" t="str">
        <f t="shared" si="3"/>
        <v>30-39</v>
      </c>
    </row>
    <row r="252" spans="1:15">
      <c r="A252" t="s">
        <v>281</v>
      </c>
      <c r="B252" t="s">
        <v>26</v>
      </c>
      <c r="C252" t="s">
        <v>22</v>
      </c>
      <c r="D252" t="s">
        <v>18</v>
      </c>
      <c r="E252" s="1">
        <v>45926</v>
      </c>
      <c r="F252" s="3">
        <v>3244</v>
      </c>
      <c r="G252" s="3">
        <v>50</v>
      </c>
      <c r="H252">
        <v>8.8000000000000007</v>
      </c>
      <c r="I252" s="2">
        <v>23544.52</v>
      </c>
      <c r="J252" s="2">
        <v>29651.1</v>
      </c>
      <c r="K252">
        <v>83.33</v>
      </c>
      <c r="L252" t="s">
        <v>37</v>
      </c>
      <c r="M252">
        <f>MONTH(Manufacturing[[#This Row],[Production Date]])</f>
        <v>9</v>
      </c>
      <c r="N252">
        <f>YEAR(Manufacturing[[#This Row],[Production Date]])</f>
        <v>2025</v>
      </c>
      <c r="O252" t="str">
        <f t="shared" si="3"/>
        <v>50+</v>
      </c>
    </row>
    <row r="253" spans="1:15">
      <c r="A253" t="s">
        <v>282</v>
      </c>
      <c r="B253" t="s">
        <v>36</v>
      </c>
      <c r="C253" t="s">
        <v>22</v>
      </c>
      <c r="D253" t="s">
        <v>23</v>
      </c>
      <c r="E253" s="1">
        <v>45634</v>
      </c>
      <c r="F253" s="3">
        <v>3390</v>
      </c>
      <c r="G253" s="3">
        <v>0</v>
      </c>
      <c r="H253">
        <v>0.36</v>
      </c>
      <c r="I253" s="2">
        <v>36928.35</v>
      </c>
      <c r="J253" s="2">
        <v>48914.52</v>
      </c>
      <c r="K253">
        <v>70.849999999999994</v>
      </c>
      <c r="L253" t="s">
        <v>29</v>
      </c>
      <c r="M253">
        <f>MONTH(Manufacturing[[#This Row],[Production Date]])</f>
        <v>12</v>
      </c>
      <c r="N253">
        <f>YEAR(Manufacturing[[#This Row],[Production Date]])</f>
        <v>2024</v>
      </c>
      <c r="O253" t="str">
        <f t="shared" si="3"/>
        <v>0-9</v>
      </c>
    </row>
    <row r="254" spans="1:15">
      <c r="A254" t="s">
        <v>283</v>
      </c>
      <c r="B254" t="s">
        <v>36</v>
      </c>
      <c r="C254" t="s">
        <v>17</v>
      </c>
      <c r="D254" t="s">
        <v>27</v>
      </c>
      <c r="E254" s="1">
        <v>45871</v>
      </c>
      <c r="F254" s="3">
        <v>4452</v>
      </c>
      <c r="G254" s="3">
        <v>29</v>
      </c>
      <c r="H254">
        <v>3.07</v>
      </c>
      <c r="I254" s="2">
        <v>24463.75</v>
      </c>
      <c r="J254" s="2">
        <v>31519.29</v>
      </c>
      <c r="K254">
        <v>82.75</v>
      </c>
      <c r="L254" t="s">
        <v>37</v>
      </c>
      <c r="M254">
        <f>MONTH(Manufacturing[[#This Row],[Production Date]])</f>
        <v>8</v>
      </c>
      <c r="N254">
        <f>YEAR(Manufacturing[[#This Row],[Production Date]])</f>
        <v>2025</v>
      </c>
      <c r="O254" t="str">
        <f t="shared" si="3"/>
        <v>20-29</v>
      </c>
    </row>
    <row r="255" spans="1:15">
      <c r="A255" t="s">
        <v>284</v>
      </c>
      <c r="B255" t="s">
        <v>36</v>
      </c>
      <c r="C255" t="s">
        <v>22</v>
      </c>
      <c r="D255" t="s">
        <v>27</v>
      </c>
      <c r="E255" s="1">
        <v>45809</v>
      </c>
      <c r="F255" s="3">
        <v>2121</v>
      </c>
      <c r="G255" s="3">
        <v>7</v>
      </c>
      <c r="H255">
        <v>5.82</v>
      </c>
      <c r="I255" s="2">
        <v>29249.02</v>
      </c>
      <c r="J255" s="2">
        <v>38107.08</v>
      </c>
      <c r="K255">
        <v>96.79</v>
      </c>
      <c r="L255" t="s">
        <v>24</v>
      </c>
      <c r="M255">
        <f>MONTH(Manufacturing[[#This Row],[Production Date]])</f>
        <v>6</v>
      </c>
      <c r="N255">
        <f>YEAR(Manufacturing[[#This Row],[Production Date]])</f>
        <v>2025</v>
      </c>
      <c r="O255" t="str">
        <f t="shared" si="3"/>
        <v>0-9</v>
      </c>
    </row>
    <row r="256" spans="1:15">
      <c r="A256" t="s">
        <v>285</v>
      </c>
      <c r="B256" t="s">
        <v>21</v>
      </c>
      <c r="C256" t="s">
        <v>32</v>
      </c>
      <c r="D256" t="s">
        <v>27</v>
      </c>
      <c r="E256" s="1">
        <v>45689</v>
      </c>
      <c r="F256" s="3">
        <v>1625</v>
      </c>
      <c r="G256" s="3">
        <v>26</v>
      </c>
      <c r="H256">
        <v>8.91</v>
      </c>
      <c r="I256" s="2">
        <v>30080.84</v>
      </c>
      <c r="J256" s="2">
        <v>39475.019999999997</v>
      </c>
      <c r="K256">
        <v>80.3</v>
      </c>
      <c r="L256" t="s">
        <v>29</v>
      </c>
      <c r="M256">
        <f>MONTH(Manufacturing[[#This Row],[Production Date]])</f>
        <v>2</v>
      </c>
      <c r="N256">
        <f>YEAR(Manufacturing[[#This Row],[Production Date]])</f>
        <v>2025</v>
      </c>
      <c r="O256" t="str">
        <f t="shared" si="3"/>
        <v>20-29</v>
      </c>
    </row>
    <row r="257" spans="1:15">
      <c r="A257" t="s">
        <v>286</v>
      </c>
      <c r="B257" t="s">
        <v>26</v>
      </c>
      <c r="C257" t="s">
        <v>17</v>
      </c>
      <c r="D257" t="s">
        <v>23</v>
      </c>
      <c r="E257" s="1">
        <v>45919</v>
      </c>
      <c r="F257" s="3">
        <v>4973</v>
      </c>
      <c r="G257" s="3">
        <v>46</v>
      </c>
      <c r="H257">
        <v>4</v>
      </c>
      <c r="I257" s="2">
        <v>26531.02</v>
      </c>
      <c r="J257" s="2">
        <v>38473.379999999997</v>
      </c>
      <c r="K257">
        <v>74.7</v>
      </c>
      <c r="L257" t="s">
        <v>33</v>
      </c>
      <c r="M257">
        <f>MONTH(Manufacturing[[#This Row],[Production Date]])</f>
        <v>9</v>
      </c>
      <c r="N257">
        <f>YEAR(Manufacturing[[#This Row],[Production Date]])</f>
        <v>2025</v>
      </c>
      <c r="O257" t="str">
        <f t="shared" si="3"/>
        <v>40-49</v>
      </c>
    </row>
    <row r="258" spans="1:15">
      <c r="A258" t="s">
        <v>287</v>
      </c>
      <c r="B258" t="s">
        <v>36</v>
      </c>
      <c r="C258" t="s">
        <v>17</v>
      </c>
      <c r="D258" t="s">
        <v>23</v>
      </c>
      <c r="E258" s="1">
        <v>45786</v>
      </c>
      <c r="F258" s="3">
        <v>1870</v>
      </c>
      <c r="G258" s="3">
        <v>43</v>
      </c>
      <c r="H258">
        <v>7.58</v>
      </c>
      <c r="I258" s="2">
        <v>6364.43</v>
      </c>
      <c r="J258" s="2">
        <v>7337.12</v>
      </c>
      <c r="K258">
        <v>90.29</v>
      </c>
      <c r="L258" t="s">
        <v>33</v>
      </c>
      <c r="M258">
        <f>MONTH(Manufacturing[[#This Row],[Production Date]])</f>
        <v>5</v>
      </c>
      <c r="N258">
        <f>YEAR(Manufacturing[[#This Row],[Production Date]])</f>
        <v>2025</v>
      </c>
      <c r="O258" t="str">
        <f t="shared" si="3"/>
        <v>40-49</v>
      </c>
    </row>
    <row r="259" spans="1:15">
      <c r="A259" t="s">
        <v>288</v>
      </c>
      <c r="B259" t="s">
        <v>26</v>
      </c>
      <c r="C259" t="s">
        <v>17</v>
      </c>
      <c r="D259" t="s">
        <v>27</v>
      </c>
      <c r="E259" s="1">
        <v>45896</v>
      </c>
      <c r="F259" s="3">
        <v>1860</v>
      </c>
      <c r="G259" s="3">
        <v>33</v>
      </c>
      <c r="H259">
        <v>7.38</v>
      </c>
      <c r="I259" s="2">
        <v>45372.21</v>
      </c>
      <c r="J259" s="2">
        <v>57521.25</v>
      </c>
      <c r="K259">
        <v>77.099999999999994</v>
      </c>
      <c r="L259" t="s">
        <v>29</v>
      </c>
      <c r="M259">
        <f>MONTH(Manufacturing[[#This Row],[Production Date]])</f>
        <v>8</v>
      </c>
      <c r="N259">
        <f>YEAR(Manufacturing[[#This Row],[Production Date]])</f>
        <v>2025</v>
      </c>
      <c r="O259" t="str">
        <f t="shared" ref="O259:O322" si="4">IF(G259&lt;=9,"0-9",IF(G259&lt;=19,"10-19",IF(G259&lt;=29,"20-29",IF(G259&lt;=39,"30-39",IF(G259&lt;=49,"40-49","50+")))))</f>
        <v>30-39</v>
      </c>
    </row>
    <row r="260" spans="1:15">
      <c r="A260" t="s">
        <v>289</v>
      </c>
      <c r="B260" t="s">
        <v>16</v>
      </c>
      <c r="C260" t="s">
        <v>17</v>
      </c>
      <c r="D260" t="s">
        <v>18</v>
      </c>
      <c r="E260" s="1">
        <v>45655</v>
      </c>
      <c r="F260" s="3">
        <v>2401</v>
      </c>
      <c r="G260" s="3">
        <v>14</v>
      </c>
      <c r="H260">
        <v>2.87</v>
      </c>
      <c r="I260" s="2">
        <v>7971.74</v>
      </c>
      <c r="J260" s="2">
        <v>11252.87</v>
      </c>
      <c r="K260">
        <v>73.72</v>
      </c>
      <c r="L260" t="s">
        <v>33</v>
      </c>
      <c r="M260">
        <f>MONTH(Manufacturing[[#This Row],[Production Date]])</f>
        <v>12</v>
      </c>
      <c r="N260">
        <f>YEAR(Manufacturing[[#This Row],[Production Date]])</f>
        <v>2024</v>
      </c>
      <c r="O260" t="str">
        <f t="shared" si="4"/>
        <v>10-19</v>
      </c>
    </row>
    <row r="261" spans="1:15">
      <c r="A261" t="s">
        <v>290</v>
      </c>
      <c r="B261" t="s">
        <v>26</v>
      </c>
      <c r="C261" t="s">
        <v>22</v>
      </c>
      <c r="D261" t="s">
        <v>18</v>
      </c>
      <c r="E261" s="1">
        <v>45612</v>
      </c>
      <c r="F261" s="3">
        <v>4781</v>
      </c>
      <c r="G261" s="3">
        <v>32</v>
      </c>
      <c r="H261">
        <v>5.83</v>
      </c>
      <c r="I261" s="2">
        <v>30367.08</v>
      </c>
      <c r="J261" s="2">
        <v>35928.68</v>
      </c>
      <c r="K261">
        <v>75.55</v>
      </c>
      <c r="L261" t="s">
        <v>37</v>
      </c>
      <c r="M261">
        <f>MONTH(Manufacturing[[#This Row],[Production Date]])</f>
        <v>11</v>
      </c>
      <c r="N261">
        <f>YEAR(Manufacturing[[#This Row],[Production Date]])</f>
        <v>2024</v>
      </c>
      <c r="O261" t="str">
        <f t="shared" si="4"/>
        <v>30-39</v>
      </c>
    </row>
    <row r="262" spans="1:15">
      <c r="A262" t="s">
        <v>291</v>
      </c>
      <c r="B262" t="s">
        <v>31</v>
      </c>
      <c r="C262" t="s">
        <v>32</v>
      </c>
      <c r="D262" t="s">
        <v>27</v>
      </c>
      <c r="E262" s="1">
        <v>45888</v>
      </c>
      <c r="F262" s="3">
        <v>1402</v>
      </c>
      <c r="G262" s="3">
        <v>1</v>
      </c>
      <c r="H262">
        <v>5.75</v>
      </c>
      <c r="I262" s="2">
        <v>33395.32</v>
      </c>
      <c r="J262" s="2">
        <v>50065.55</v>
      </c>
      <c r="K262">
        <v>85.72</v>
      </c>
      <c r="L262" t="s">
        <v>19</v>
      </c>
      <c r="M262">
        <f>MONTH(Manufacturing[[#This Row],[Production Date]])</f>
        <v>8</v>
      </c>
      <c r="N262">
        <f>YEAR(Manufacturing[[#This Row],[Production Date]])</f>
        <v>2025</v>
      </c>
      <c r="O262" t="str">
        <f t="shared" si="4"/>
        <v>0-9</v>
      </c>
    </row>
    <row r="263" spans="1:15">
      <c r="A263" t="s">
        <v>292</v>
      </c>
      <c r="B263" t="s">
        <v>16</v>
      </c>
      <c r="C263" t="s">
        <v>17</v>
      </c>
      <c r="D263" t="s">
        <v>23</v>
      </c>
      <c r="E263" s="1">
        <v>45910</v>
      </c>
      <c r="F263" s="3">
        <v>1806</v>
      </c>
      <c r="G263" s="3">
        <v>20</v>
      </c>
      <c r="H263">
        <v>2.92</v>
      </c>
      <c r="I263" s="2">
        <v>41641.72</v>
      </c>
      <c r="J263" s="2">
        <v>54699.88</v>
      </c>
      <c r="K263">
        <v>96.64</v>
      </c>
      <c r="L263" t="s">
        <v>19</v>
      </c>
      <c r="M263">
        <f>MONTH(Manufacturing[[#This Row],[Production Date]])</f>
        <v>9</v>
      </c>
      <c r="N263">
        <f>YEAR(Manufacturing[[#This Row],[Production Date]])</f>
        <v>2025</v>
      </c>
      <c r="O263" t="str">
        <f t="shared" si="4"/>
        <v>20-29</v>
      </c>
    </row>
    <row r="264" spans="1:15">
      <c r="A264" t="s">
        <v>293</v>
      </c>
      <c r="B264" t="s">
        <v>16</v>
      </c>
      <c r="C264" t="s">
        <v>32</v>
      </c>
      <c r="D264" t="s">
        <v>27</v>
      </c>
      <c r="E264" s="1">
        <v>45699</v>
      </c>
      <c r="F264" s="3">
        <v>803</v>
      </c>
      <c r="G264" s="3">
        <v>46</v>
      </c>
      <c r="H264">
        <v>9.27</v>
      </c>
      <c r="I264" s="2">
        <v>46680.160000000003</v>
      </c>
      <c r="J264" s="2">
        <v>63741.88</v>
      </c>
      <c r="K264">
        <v>98.27</v>
      </c>
      <c r="L264" t="s">
        <v>29</v>
      </c>
      <c r="M264">
        <f>MONTH(Manufacturing[[#This Row],[Production Date]])</f>
        <v>2</v>
      </c>
      <c r="N264">
        <f>YEAR(Manufacturing[[#This Row],[Production Date]])</f>
        <v>2025</v>
      </c>
      <c r="O264" t="str">
        <f t="shared" si="4"/>
        <v>40-49</v>
      </c>
    </row>
    <row r="265" spans="1:15">
      <c r="A265" t="s">
        <v>294</v>
      </c>
      <c r="B265" t="s">
        <v>21</v>
      </c>
      <c r="C265" t="s">
        <v>22</v>
      </c>
      <c r="D265" t="s">
        <v>27</v>
      </c>
      <c r="E265" s="1">
        <v>45730</v>
      </c>
      <c r="F265" s="3">
        <v>4452</v>
      </c>
      <c r="G265" s="3">
        <v>22</v>
      </c>
      <c r="H265">
        <v>4.38</v>
      </c>
      <c r="I265" s="2">
        <v>34428.559999999998</v>
      </c>
      <c r="J265" s="2">
        <v>46643.32</v>
      </c>
      <c r="K265">
        <v>79.760000000000005</v>
      </c>
      <c r="L265" t="s">
        <v>29</v>
      </c>
      <c r="M265">
        <f>MONTH(Manufacturing[[#This Row],[Production Date]])</f>
        <v>3</v>
      </c>
      <c r="N265">
        <f>YEAR(Manufacturing[[#This Row],[Production Date]])</f>
        <v>2025</v>
      </c>
      <c r="O265" t="str">
        <f t="shared" si="4"/>
        <v>20-29</v>
      </c>
    </row>
    <row r="266" spans="1:15">
      <c r="A266" t="s">
        <v>295</v>
      </c>
      <c r="B266" t="s">
        <v>16</v>
      </c>
      <c r="C266" t="s">
        <v>17</v>
      </c>
      <c r="D266" t="s">
        <v>27</v>
      </c>
      <c r="E266" s="1">
        <v>45729</v>
      </c>
      <c r="F266" s="3">
        <v>3766</v>
      </c>
      <c r="G266" s="3">
        <v>27</v>
      </c>
      <c r="H266">
        <v>7.32</v>
      </c>
      <c r="I266" s="2">
        <v>46322.17</v>
      </c>
      <c r="J266" s="2">
        <v>65927.91</v>
      </c>
      <c r="K266">
        <v>76.7</v>
      </c>
      <c r="L266" t="s">
        <v>19</v>
      </c>
      <c r="M266">
        <f>MONTH(Manufacturing[[#This Row],[Production Date]])</f>
        <v>3</v>
      </c>
      <c r="N266">
        <f>YEAR(Manufacturing[[#This Row],[Production Date]])</f>
        <v>2025</v>
      </c>
      <c r="O266" t="str">
        <f t="shared" si="4"/>
        <v>20-29</v>
      </c>
    </row>
    <row r="267" spans="1:15">
      <c r="A267" t="s">
        <v>296</v>
      </c>
      <c r="B267" t="s">
        <v>16</v>
      </c>
      <c r="C267" t="s">
        <v>22</v>
      </c>
      <c r="D267" t="s">
        <v>27</v>
      </c>
      <c r="E267" s="1">
        <v>45630</v>
      </c>
      <c r="F267" s="3">
        <v>2023</v>
      </c>
      <c r="G267" s="3">
        <v>7</v>
      </c>
      <c r="H267">
        <v>9.89</v>
      </c>
      <c r="I267" s="2">
        <v>36700.559999999998</v>
      </c>
      <c r="J267" s="2">
        <v>50073.47</v>
      </c>
      <c r="K267">
        <v>85.5</v>
      </c>
      <c r="L267" t="s">
        <v>24</v>
      </c>
      <c r="M267">
        <f>MONTH(Manufacturing[[#This Row],[Production Date]])</f>
        <v>12</v>
      </c>
      <c r="N267">
        <f>YEAR(Manufacturing[[#This Row],[Production Date]])</f>
        <v>2024</v>
      </c>
      <c r="O267" t="str">
        <f t="shared" si="4"/>
        <v>0-9</v>
      </c>
    </row>
    <row r="268" spans="1:15">
      <c r="A268" t="s">
        <v>297</v>
      </c>
      <c r="B268" t="s">
        <v>36</v>
      </c>
      <c r="C268" t="s">
        <v>32</v>
      </c>
      <c r="D268" t="s">
        <v>23</v>
      </c>
      <c r="E268" s="1">
        <v>45666</v>
      </c>
      <c r="F268" s="3">
        <v>4885</v>
      </c>
      <c r="G268" s="3">
        <v>3</v>
      </c>
      <c r="H268">
        <v>9.02</v>
      </c>
      <c r="I268" s="2">
        <v>4078.5</v>
      </c>
      <c r="J268" s="2">
        <v>5966.82</v>
      </c>
      <c r="K268">
        <v>70.05</v>
      </c>
      <c r="L268" t="s">
        <v>29</v>
      </c>
      <c r="M268">
        <f>MONTH(Manufacturing[[#This Row],[Production Date]])</f>
        <v>1</v>
      </c>
      <c r="N268">
        <f>YEAR(Manufacturing[[#This Row],[Production Date]])</f>
        <v>2025</v>
      </c>
      <c r="O268" t="str">
        <f t="shared" si="4"/>
        <v>0-9</v>
      </c>
    </row>
    <row r="269" spans="1:15">
      <c r="A269" t="s">
        <v>298</v>
      </c>
      <c r="B269" t="s">
        <v>16</v>
      </c>
      <c r="C269" t="s">
        <v>22</v>
      </c>
      <c r="D269" t="s">
        <v>27</v>
      </c>
      <c r="E269" s="1">
        <v>45679</v>
      </c>
      <c r="F269" s="3">
        <v>1260</v>
      </c>
      <c r="G269" s="3">
        <v>22</v>
      </c>
      <c r="H269">
        <v>7.33</v>
      </c>
      <c r="I269" s="2">
        <v>8335.3799999999992</v>
      </c>
      <c r="J269" s="2">
        <v>10865.54</v>
      </c>
      <c r="K269">
        <v>80.25</v>
      </c>
      <c r="L269" t="s">
        <v>29</v>
      </c>
      <c r="M269">
        <f>MONTH(Manufacturing[[#This Row],[Production Date]])</f>
        <v>1</v>
      </c>
      <c r="N269">
        <f>YEAR(Manufacturing[[#This Row],[Production Date]])</f>
        <v>2025</v>
      </c>
      <c r="O269" t="str">
        <f t="shared" si="4"/>
        <v>20-29</v>
      </c>
    </row>
    <row r="270" spans="1:15">
      <c r="A270" t="s">
        <v>299</v>
      </c>
      <c r="B270" t="s">
        <v>31</v>
      </c>
      <c r="C270" t="s">
        <v>32</v>
      </c>
      <c r="D270" t="s">
        <v>27</v>
      </c>
      <c r="E270" s="1">
        <v>45819</v>
      </c>
      <c r="F270" s="3">
        <v>2534</v>
      </c>
      <c r="G270" s="3">
        <v>18</v>
      </c>
      <c r="H270">
        <v>2.69</v>
      </c>
      <c r="I270" s="2">
        <v>18089.12</v>
      </c>
      <c r="J270" s="2">
        <v>24919.55</v>
      </c>
      <c r="K270">
        <v>81.680000000000007</v>
      </c>
      <c r="L270" t="s">
        <v>24</v>
      </c>
      <c r="M270">
        <f>MONTH(Manufacturing[[#This Row],[Production Date]])</f>
        <v>6</v>
      </c>
      <c r="N270">
        <f>YEAR(Manufacturing[[#This Row],[Production Date]])</f>
        <v>2025</v>
      </c>
      <c r="O270" t="str">
        <f t="shared" si="4"/>
        <v>10-19</v>
      </c>
    </row>
    <row r="271" spans="1:15">
      <c r="A271" t="s">
        <v>300</v>
      </c>
      <c r="B271" t="s">
        <v>36</v>
      </c>
      <c r="C271" t="s">
        <v>17</v>
      </c>
      <c r="D271" t="s">
        <v>18</v>
      </c>
      <c r="E271" s="1">
        <v>45798</v>
      </c>
      <c r="F271" s="3">
        <v>3314</v>
      </c>
      <c r="G271" s="3">
        <v>46</v>
      </c>
      <c r="H271">
        <v>7.13</v>
      </c>
      <c r="I271" s="2">
        <v>38984.870000000003</v>
      </c>
      <c r="J271" s="2">
        <v>55252.81</v>
      </c>
      <c r="K271">
        <v>79.88</v>
      </c>
      <c r="L271" t="s">
        <v>29</v>
      </c>
      <c r="M271">
        <f>MONTH(Manufacturing[[#This Row],[Production Date]])</f>
        <v>5</v>
      </c>
      <c r="N271">
        <f>YEAR(Manufacturing[[#This Row],[Production Date]])</f>
        <v>2025</v>
      </c>
      <c r="O271" t="str">
        <f t="shared" si="4"/>
        <v>40-49</v>
      </c>
    </row>
    <row r="272" spans="1:15">
      <c r="A272" t="s">
        <v>301</v>
      </c>
      <c r="B272" t="s">
        <v>26</v>
      </c>
      <c r="C272" t="s">
        <v>32</v>
      </c>
      <c r="D272" t="s">
        <v>18</v>
      </c>
      <c r="E272" s="1">
        <v>45745</v>
      </c>
      <c r="F272" s="3">
        <v>401</v>
      </c>
      <c r="G272" s="3">
        <v>18</v>
      </c>
      <c r="H272">
        <v>7.73</v>
      </c>
      <c r="I272" s="2">
        <v>31864.38</v>
      </c>
      <c r="J272" s="2">
        <v>46496.19</v>
      </c>
      <c r="K272">
        <v>92.91</v>
      </c>
      <c r="L272" t="s">
        <v>24</v>
      </c>
      <c r="M272">
        <f>MONTH(Manufacturing[[#This Row],[Production Date]])</f>
        <v>3</v>
      </c>
      <c r="N272">
        <f>YEAR(Manufacturing[[#This Row],[Production Date]])</f>
        <v>2025</v>
      </c>
      <c r="O272" t="str">
        <f t="shared" si="4"/>
        <v>10-19</v>
      </c>
    </row>
    <row r="273" spans="1:15">
      <c r="A273" t="s">
        <v>302</v>
      </c>
      <c r="B273" t="s">
        <v>21</v>
      </c>
      <c r="C273" t="s">
        <v>22</v>
      </c>
      <c r="D273" t="s">
        <v>27</v>
      </c>
      <c r="E273" s="1">
        <v>45933</v>
      </c>
      <c r="F273" s="3">
        <v>3610</v>
      </c>
      <c r="G273" s="3">
        <v>35</v>
      </c>
      <c r="H273">
        <v>5.0199999999999996</v>
      </c>
      <c r="I273" s="2">
        <v>30524.31</v>
      </c>
      <c r="J273" s="2">
        <v>35694.58</v>
      </c>
      <c r="K273">
        <v>94.39</v>
      </c>
      <c r="L273" t="s">
        <v>29</v>
      </c>
      <c r="M273">
        <f>MONTH(Manufacturing[[#This Row],[Production Date]])</f>
        <v>10</v>
      </c>
      <c r="N273">
        <f>YEAR(Manufacturing[[#This Row],[Production Date]])</f>
        <v>2025</v>
      </c>
      <c r="O273" t="str">
        <f t="shared" si="4"/>
        <v>30-39</v>
      </c>
    </row>
    <row r="274" spans="1:15">
      <c r="A274" t="s">
        <v>303</v>
      </c>
      <c r="B274" t="s">
        <v>31</v>
      </c>
      <c r="C274" t="s">
        <v>17</v>
      </c>
      <c r="D274" t="s">
        <v>27</v>
      </c>
      <c r="E274" s="1">
        <v>45811</v>
      </c>
      <c r="F274" s="3">
        <v>4858</v>
      </c>
      <c r="G274" s="3">
        <v>14</v>
      </c>
      <c r="H274">
        <v>7.87</v>
      </c>
      <c r="I274" s="2">
        <v>24105.81</v>
      </c>
      <c r="J274" s="2">
        <v>28460.639999999999</v>
      </c>
      <c r="K274">
        <v>86.46</v>
      </c>
      <c r="L274" t="s">
        <v>29</v>
      </c>
      <c r="M274">
        <f>MONTH(Manufacturing[[#This Row],[Production Date]])</f>
        <v>6</v>
      </c>
      <c r="N274">
        <f>YEAR(Manufacturing[[#This Row],[Production Date]])</f>
        <v>2025</v>
      </c>
      <c r="O274" t="str">
        <f t="shared" si="4"/>
        <v>10-19</v>
      </c>
    </row>
    <row r="275" spans="1:15">
      <c r="A275" t="s">
        <v>304</v>
      </c>
      <c r="B275" t="s">
        <v>16</v>
      </c>
      <c r="C275" t="s">
        <v>32</v>
      </c>
      <c r="D275" t="s">
        <v>18</v>
      </c>
      <c r="E275" s="1">
        <v>45773</v>
      </c>
      <c r="F275" s="3">
        <v>4744</v>
      </c>
      <c r="G275" s="3">
        <v>7</v>
      </c>
      <c r="H275">
        <v>4.53</v>
      </c>
      <c r="I275" s="2">
        <v>1765.62</v>
      </c>
      <c r="J275" s="2">
        <v>2462.5500000000002</v>
      </c>
      <c r="K275">
        <v>88.4</v>
      </c>
      <c r="L275" t="s">
        <v>19</v>
      </c>
      <c r="M275">
        <f>MONTH(Manufacturing[[#This Row],[Production Date]])</f>
        <v>4</v>
      </c>
      <c r="N275">
        <f>YEAR(Manufacturing[[#This Row],[Production Date]])</f>
        <v>2025</v>
      </c>
      <c r="O275" t="str">
        <f t="shared" si="4"/>
        <v>0-9</v>
      </c>
    </row>
    <row r="276" spans="1:15">
      <c r="A276" t="s">
        <v>305</v>
      </c>
      <c r="B276" t="s">
        <v>36</v>
      </c>
      <c r="C276" t="s">
        <v>32</v>
      </c>
      <c r="D276" t="s">
        <v>18</v>
      </c>
      <c r="E276" s="1">
        <v>45955</v>
      </c>
      <c r="F276" s="3">
        <v>661</v>
      </c>
      <c r="G276" s="3">
        <v>46</v>
      </c>
      <c r="H276">
        <v>3.09</v>
      </c>
      <c r="I276" s="2">
        <v>19854.650000000001</v>
      </c>
      <c r="J276" s="2">
        <v>28131</v>
      </c>
      <c r="K276">
        <v>93.08</v>
      </c>
      <c r="L276" t="s">
        <v>29</v>
      </c>
      <c r="M276">
        <f>MONTH(Manufacturing[[#This Row],[Production Date]])</f>
        <v>10</v>
      </c>
      <c r="N276">
        <f>YEAR(Manufacturing[[#This Row],[Production Date]])</f>
        <v>2025</v>
      </c>
      <c r="O276" t="str">
        <f t="shared" si="4"/>
        <v>40-49</v>
      </c>
    </row>
    <row r="277" spans="1:15">
      <c r="A277" t="s">
        <v>306</v>
      </c>
      <c r="B277" t="s">
        <v>21</v>
      </c>
      <c r="C277" t="s">
        <v>32</v>
      </c>
      <c r="D277" t="s">
        <v>18</v>
      </c>
      <c r="E277" s="1">
        <v>45883</v>
      </c>
      <c r="F277" s="3">
        <v>2322</v>
      </c>
      <c r="G277" s="3">
        <v>46</v>
      </c>
      <c r="H277">
        <v>5.79</v>
      </c>
      <c r="I277" s="2">
        <v>17488.990000000002</v>
      </c>
      <c r="J277" s="2">
        <v>22026.5</v>
      </c>
      <c r="K277">
        <v>78.13</v>
      </c>
      <c r="L277" t="s">
        <v>37</v>
      </c>
      <c r="M277">
        <f>MONTH(Manufacturing[[#This Row],[Production Date]])</f>
        <v>8</v>
      </c>
      <c r="N277">
        <f>YEAR(Manufacturing[[#This Row],[Production Date]])</f>
        <v>2025</v>
      </c>
      <c r="O277" t="str">
        <f t="shared" si="4"/>
        <v>40-49</v>
      </c>
    </row>
    <row r="278" spans="1:15">
      <c r="A278" t="s">
        <v>307</v>
      </c>
      <c r="B278" t="s">
        <v>31</v>
      </c>
      <c r="C278" t="s">
        <v>22</v>
      </c>
      <c r="D278" t="s">
        <v>27</v>
      </c>
      <c r="E278" s="1">
        <v>45811</v>
      </c>
      <c r="F278" s="3">
        <v>1986</v>
      </c>
      <c r="G278" s="3">
        <v>48</v>
      </c>
      <c r="H278">
        <v>5.92</v>
      </c>
      <c r="I278" s="2">
        <v>44668.29</v>
      </c>
      <c r="J278" s="2">
        <v>64652.61</v>
      </c>
      <c r="K278">
        <v>87.78</v>
      </c>
      <c r="L278" t="s">
        <v>37</v>
      </c>
      <c r="M278">
        <f>MONTH(Manufacturing[[#This Row],[Production Date]])</f>
        <v>6</v>
      </c>
      <c r="N278">
        <f>YEAR(Manufacturing[[#This Row],[Production Date]])</f>
        <v>2025</v>
      </c>
      <c r="O278" t="str">
        <f t="shared" si="4"/>
        <v>40-49</v>
      </c>
    </row>
    <row r="279" spans="1:15">
      <c r="A279" t="s">
        <v>308</v>
      </c>
      <c r="B279" t="s">
        <v>16</v>
      </c>
      <c r="C279" t="s">
        <v>22</v>
      </c>
      <c r="D279" t="s">
        <v>18</v>
      </c>
      <c r="E279" s="1">
        <v>45645</v>
      </c>
      <c r="F279" s="3">
        <v>421</v>
      </c>
      <c r="G279" s="3">
        <v>17</v>
      </c>
      <c r="H279">
        <v>8.07</v>
      </c>
      <c r="I279" s="2">
        <v>36040.58</v>
      </c>
      <c r="J279" s="2">
        <v>52441.19</v>
      </c>
      <c r="K279">
        <v>94.17</v>
      </c>
      <c r="L279" t="s">
        <v>19</v>
      </c>
      <c r="M279">
        <f>MONTH(Manufacturing[[#This Row],[Production Date]])</f>
        <v>12</v>
      </c>
      <c r="N279">
        <f>YEAR(Manufacturing[[#This Row],[Production Date]])</f>
        <v>2024</v>
      </c>
      <c r="O279" t="str">
        <f t="shared" si="4"/>
        <v>10-19</v>
      </c>
    </row>
    <row r="280" spans="1:15">
      <c r="A280" t="s">
        <v>309</v>
      </c>
      <c r="B280" t="s">
        <v>21</v>
      </c>
      <c r="C280" t="s">
        <v>17</v>
      </c>
      <c r="D280" t="s">
        <v>27</v>
      </c>
      <c r="E280" s="1">
        <v>45827</v>
      </c>
      <c r="F280" s="3">
        <v>2212</v>
      </c>
      <c r="G280" s="3">
        <v>4</v>
      </c>
      <c r="H280">
        <v>2.1</v>
      </c>
      <c r="I280" s="2">
        <v>41379.11</v>
      </c>
      <c r="J280" s="2">
        <v>54449.57</v>
      </c>
      <c r="K280">
        <v>95.98</v>
      </c>
      <c r="L280" t="s">
        <v>29</v>
      </c>
      <c r="M280">
        <f>MONTH(Manufacturing[[#This Row],[Production Date]])</f>
        <v>6</v>
      </c>
      <c r="N280">
        <f>YEAR(Manufacturing[[#This Row],[Production Date]])</f>
        <v>2025</v>
      </c>
      <c r="O280" t="str">
        <f t="shared" si="4"/>
        <v>0-9</v>
      </c>
    </row>
    <row r="281" spans="1:15">
      <c r="A281" t="s">
        <v>310</v>
      </c>
      <c r="B281" t="s">
        <v>26</v>
      </c>
      <c r="C281" t="s">
        <v>32</v>
      </c>
      <c r="D281" t="s">
        <v>18</v>
      </c>
      <c r="E281" s="1">
        <v>45595</v>
      </c>
      <c r="F281" s="3">
        <v>1610</v>
      </c>
      <c r="G281" s="3">
        <v>45</v>
      </c>
      <c r="H281">
        <v>5.25</v>
      </c>
      <c r="I281" s="2">
        <v>25335.72</v>
      </c>
      <c r="J281" s="2">
        <v>37424.99</v>
      </c>
      <c r="K281">
        <v>81.540000000000006</v>
      </c>
      <c r="L281" t="s">
        <v>19</v>
      </c>
      <c r="M281">
        <f>MONTH(Manufacturing[[#This Row],[Production Date]])</f>
        <v>10</v>
      </c>
      <c r="N281">
        <f>YEAR(Manufacturing[[#This Row],[Production Date]])</f>
        <v>2024</v>
      </c>
      <c r="O281" t="str">
        <f t="shared" si="4"/>
        <v>40-49</v>
      </c>
    </row>
    <row r="282" spans="1:15">
      <c r="A282" t="s">
        <v>311</v>
      </c>
      <c r="B282" t="s">
        <v>36</v>
      </c>
      <c r="C282" t="s">
        <v>22</v>
      </c>
      <c r="D282" t="s">
        <v>23</v>
      </c>
      <c r="E282" s="1">
        <v>45635</v>
      </c>
      <c r="F282" s="3">
        <v>2255</v>
      </c>
      <c r="G282" s="3">
        <v>36</v>
      </c>
      <c r="H282">
        <v>4.67</v>
      </c>
      <c r="I282" s="2">
        <v>14935.16</v>
      </c>
      <c r="J282" s="2">
        <v>17554.849999999999</v>
      </c>
      <c r="K282">
        <v>75.959999999999994</v>
      </c>
      <c r="L282" t="s">
        <v>29</v>
      </c>
      <c r="M282">
        <f>MONTH(Manufacturing[[#This Row],[Production Date]])</f>
        <v>12</v>
      </c>
      <c r="N282">
        <f>YEAR(Manufacturing[[#This Row],[Production Date]])</f>
        <v>2024</v>
      </c>
      <c r="O282" t="str">
        <f t="shared" si="4"/>
        <v>30-39</v>
      </c>
    </row>
    <row r="283" spans="1:15">
      <c r="A283" t="s">
        <v>312</v>
      </c>
      <c r="B283" t="s">
        <v>21</v>
      </c>
      <c r="C283" t="s">
        <v>22</v>
      </c>
      <c r="D283" t="s">
        <v>23</v>
      </c>
      <c r="E283" s="1">
        <v>45866</v>
      </c>
      <c r="F283" s="3">
        <v>1227</v>
      </c>
      <c r="G283" s="3">
        <v>36</v>
      </c>
      <c r="H283">
        <v>4.93</v>
      </c>
      <c r="I283" s="2">
        <v>46758.89</v>
      </c>
      <c r="J283" s="2">
        <v>56850.63</v>
      </c>
      <c r="K283">
        <v>92.24</v>
      </c>
      <c r="L283" t="s">
        <v>29</v>
      </c>
      <c r="M283">
        <f>MONTH(Manufacturing[[#This Row],[Production Date]])</f>
        <v>7</v>
      </c>
      <c r="N283">
        <f>YEAR(Manufacturing[[#This Row],[Production Date]])</f>
        <v>2025</v>
      </c>
      <c r="O283" t="str">
        <f t="shared" si="4"/>
        <v>30-39</v>
      </c>
    </row>
    <row r="284" spans="1:15">
      <c r="A284" t="s">
        <v>313</v>
      </c>
      <c r="B284" t="s">
        <v>16</v>
      </c>
      <c r="C284" t="s">
        <v>17</v>
      </c>
      <c r="D284" t="s">
        <v>18</v>
      </c>
      <c r="E284" s="1">
        <v>45819</v>
      </c>
      <c r="F284" s="3">
        <v>4001</v>
      </c>
      <c r="G284" s="3">
        <v>31</v>
      </c>
      <c r="H284">
        <v>9.35</v>
      </c>
      <c r="I284" s="2">
        <v>1477.8</v>
      </c>
      <c r="J284" s="2">
        <v>2192.25</v>
      </c>
      <c r="K284">
        <v>73.78</v>
      </c>
      <c r="L284" t="s">
        <v>19</v>
      </c>
      <c r="M284">
        <f>MONTH(Manufacturing[[#This Row],[Production Date]])</f>
        <v>6</v>
      </c>
      <c r="N284">
        <f>YEAR(Manufacturing[[#This Row],[Production Date]])</f>
        <v>2025</v>
      </c>
      <c r="O284" t="str">
        <f t="shared" si="4"/>
        <v>30-39</v>
      </c>
    </row>
    <row r="285" spans="1:15">
      <c r="A285" t="s">
        <v>314</v>
      </c>
      <c r="B285" t="s">
        <v>31</v>
      </c>
      <c r="C285" t="s">
        <v>22</v>
      </c>
      <c r="D285" t="s">
        <v>23</v>
      </c>
      <c r="E285" s="1">
        <v>45797</v>
      </c>
      <c r="F285" s="3">
        <v>1200</v>
      </c>
      <c r="G285" s="3">
        <v>42</v>
      </c>
      <c r="H285">
        <v>0.43</v>
      </c>
      <c r="I285" s="2">
        <v>23115.16</v>
      </c>
      <c r="J285" s="2">
        <v>28076.560000000001</v>
      </c>
      <c r="K285">
        <v>71.27</v>
      </c>
      <c r="L285" t="s">
        <v>24</v>
      </c>
      <c r="M285">
        <f>MONTH(Manufacturing[[#This Row],[Production Date]])</f>
        <v>5</v>
      </c>
      <c r="N285">
        <f>YEAR(Manufacturing[[#This Row],[Production Date]])</f>
        <v>2025</v>
      </c>
      <c r="O285" t="str">
        <f t="shared" si="4"/>
        <v>40-49</v>
      </c>
    </row>
    <row r="286" spans="1:15">
      <c r="A286" t="s">
        <v>315</v>
      </c>
      <c r="B286" t="s">
        <v>36</v>
      </c>
      <c r="C286" t="s">
        <v>22</v>
      </c>
      <c r="D286" t="s">
        <v>18</v>
      </c>
      <c r="E286" s="1">
        <v>45872</v>
      </c>
      <c r="F286" s="3">
        <v>3951</v>
      </c>
      <c r="G286" s="3">
        <v>38</v>
      </c>
      <c r="H286">
        <v>3.29</v>
      </c>
      <c r="I286" s="2">
        <v>31822.01</v>
      </c>
      <c r="J286" s="2">
        <v>35756.769999999997</v>
      </c>
      <c r="K286">
        <v>79.72</v>
      </c>
      <c r="L286" t="s">
        <v>19</v>
      </c>
      <c r="M286">
        <f>MONTH(Manufacturing[[#This Row],[Production Date]])</f>
        <v>8</v>
      </c>
      <c r="N286">
        <f>YEAR(Manufacturing[[#This Row],[Production Date]])</f>
        <v>2025</v>
      </c>
      <c r="O286" t="str">
        <f t="shared" si="4"/>
        <v>30-39</v>
      </c>
    </row>
    <row r="287" spans="1:15">
      <c r="A287" t="s">
        <v>316</v>
      </c>
      <c r="B287" t="s">
        <v>21</v>
      </c>
      <c r="C287" t="s">
        <v>22</v>
      </c>
      <c r="D287" t="s">
        <v>27</v>
      </c>
      <c r="E287" s="1">
        <v>45700</v>
      </c>
      <c r="F287" s="3">
        <v>4202</v>
      </c>
      <c r="G287" s="3">
        <v>29</v>
      </c>
      <c r="H287">
        <v>4.22</v>
      </c>
      <c r="I287" s="2">
        <v>1294.19</v>
      </c>
      <c r="J287" s="2">
        <v>1937.18</v>
      </c>
      <c r="K287">
        <v>89.05</v>
      </c>
      <c r="L287" t="s">
        <v>24</v>
      </c>
      <c r="M287">
        <f>MONTH(Manufacturing[[#This Row],[Production Date]])</f>
        <v>2</v>
      </c>
      <c r="N287">
        <f>YEAR(Manufacturing[[#This Row],[Production Date]])</f>
        <v>2025</v>
      </c>
      <c r="O287" t="str">
        <f t="shared" si="4"/>
        <v>20-29</v>
      </c>
    </row>
    <row r="288" spans="1:15">
      <c r="A288" t="s">
        <v>317</v>
      </c>
      <c r="B288" t="s">
        <v>16</v>
      </c>
      <c r="C288" t="s">
        <v>22</v>
      </c>
      <c r="D288" t="s">
        <v>23</v>
      </c>
      <c r="E288" s="1">
        <v>45703</v>
      </c>
      <c r="F288" s="3">
        <v>2826</v>
      </c>
      <c r="G288" s="3">
        <v>9</v>
      </c>
      <c r="H288">
        <v>3.91</v>
      </c>
      <c r="I288" s="2">
        <v>20281.330000000002</v>
      </c>
      <c r="J288" s="2">
        <v>23660.32</v>
      </c>
      <c r="K288">
        <v>97.95</v>
      </c>
      <c r="L288" t="s">
        <v>37</v>
      </c>
      <c r="M288">
        <f>MONTH(Manufacturing[[#This Row],[Production Date]])</f>
        <v>2</v>
      </c>
      <c r="N288">
        <f>YEAR(Manufacturing[[#This Row],[Production Date]])</f>
        <v>2025</v>
      </c>
      <c r="O288" t="str">
        <f t="shared" si="4"/>
        <v>0-9</v>
      </c>
    </row>
    <row r="289" spans="1:15">
      <c r="A289" t="s">
        <v>318</v>
      </c>
      <c r="B289" t="s">
        <v>21</v>
      </c>
      <c r="C289" t="s">
        <v>22</v>
      </c>
      <c r="D289" t="s">
        <v>23</v>
      </c>
      <c r="E289" s="1">
        <v>45838</v>
      </c>
      <c r="F289" s="3">
        <v>2497</v>
      </c>
      <c r="G289" s="3">
        <v>42</v>
      </c>
      <c r="H289">
        <v>0.08</v>
      </c>
      <c r="I289" s="2">
        <v>44717.23</v>
      </c>
      <c r="J289" s="2">
        <v>59967.47</v>
      </c>
      <c r="K289">
        <v>77.930000000000007</v>
      </c>
      <c r="L289" t="s">
        <v>19</v>
      </c>
      <c r="M289">
        <f>MONTH(Manufacturing[[#This Row],[Production Date]])</f>
        <v>6</v>
      </c>
      <c r="N289">
        <f>YEAR(Manufacturing[[#This Row],[Production Date]])</f>
        <v>2025</v>
      </c>
      <c r="O289" t="str">
        <f t="shared" si="4"/>
        <v>40-49</v>
      </c>
    </row>
    <row r="290" spans="1:15">
      <c r="A290" t="s">
        <v>319</v>
      </c>
      <c r="B290" t="s">
        <v>31</v>
      </c>
      <c r="C290" t="s">
        <v>32</v>
      </c>
      <c r="D290" t="s">
        <v>23</v>
      </c>
      <c r="E290" s="1">
        <v>45912</v>
      </c>
      <c r="F290" s="3">
        <v>4312</v>
      </c>
      <c r="G290" s="3">
        <v>0</v>
      </c>
      <c r="H290">
        <v>9.81</v>
      </c>
      <c r="I290" s="2">
        <v>23178.94</v>
      </c>
      <c r="J290" s="2">
        <v>27752.71</v>
      </c>
      <c r="K290">
        <v>87.71</v>
      </c>
      <c r="L290" t="s">
        <v>24</v>
      </c>
      <c r="M290">
        <f>MONTH(Manufacturing[[#This Row],[Production Date]])</f>
        <v>9</v>
      </c>
      <c r="N290">
        <f>YEAR(Manufacturing[[#This Row],[Production Date]])</f>
        <v>2025</v>
      </c>
      <c r="O290" t="str">
        <f t="shared" si="4"/>
        <v>0-9</v>
      </c>
    </row>
    <row r="291" spans="1:15">
      <c r="A291" t="s">
        <v>320</v>
      </c>
      <c r="B291" t="s">
        <v>31</v>
      </c>
      <c r="C291" t="s">
        <v>32</v>
      </c>
      <c r="D291" t="s">
        <v>27</v>
      </c>
      <c r="E291" s="1">
        <v>45605</v>
      </c>
      <c r="F291" s="3">
        <v>3200</v>
      </c>
      <c r="G291" s="3">
        <v>43</v>
      </c>
      <c r="H291">
        <v>9.64</v>
      </c>
      <c r="I291" s="2">
        <v>28971.56</v>
      </c>
      <c r="J291" s="2">
        <v>39627.47</v>
      </c>
      <c r="K291">
        <v>82.77</v>
      </c>
      <c r="L291" t="s">
        <v>19</v>
      </c>
      <c r="M291">
        <f>MONTH(Manufacturing[[#This Row],[Production Date]])</f>
        <v>11</v>
      </c>
      <c r="N291">
        <f>YEAR(Manufacturing[[#This Row],[Production Date]])</f>
        <v>2024</v>
      </c>
      <c r="O291" t="str">
        <f t="shared" si="4"/>
        <v>40-49</v>
      </c>
    </row>
    <row r="292" spans="1:15">
      <c r="A292" t="s">
        <v>321</v>
      </c>
      <c r="B292" t="s">
        <v>26</v>
      </c>
      <c r="C292" t="s">
        <v>17</v>
      </c>
      <c r="D292" t="s">
        <v>27</v>
      </c>
      <c r="E292" s="1">
        <v>45883</v>
      </c>
      <c r="F292" s="3">
        <v>1693</v>
      </c>
      <c r="G292" s="3">
        <v>21</v>
      </c>
      <c r="H292">
        <v>3.55</v>
      </c>
      <c r="I292" s="2">
        <v>49336.98</v>
      </c>
      <c r="J292" s="2">
        <v>61940.51</v>
      </c>
      <c r="K292">
        <v>87.4</v>
      </c>
      <c r="L292" t="s">
        <v>37</v>
      </c>
      <c r="M292">
        <f>MONTH(Manufacturing[[#This Row],[Production Date]])</f>
        <v>8</v>
      </c>
      <c r="N292">
        <f>YEAR(Manufacturing[[#This Row],[Production Date]])</f>
        <v>2025</v>
      </c>
      <c r="O292" t="str">
        <f t="shared" si="4"/>
        <v>20-29</v>
      </c>
    </row>
    <row r="293" spans="1:15">
      <c r="A293" t="s">
        <v>322</v>
      </c>
      <c r="B293" t="s">
        <v>26</v>
      </c>
      <c r="C293" t="s">
        <v>22</v>
      </c>
      <c r="D293" t="s">
        <v>27</v>
      </c>
      <c r="E293" s="1">
        <v>45713</v>
      </c>
      <c r="F293" s="3">
        <v>982</v>
      </c>
      <c r="G293" s="3">
        <v>47</v>
      </c>
      <c r="H293">
        <v>4</v>
      </c>
      <c r="I293" s="2">
        <v>13537.9</v>
      </c>
      <c r="J293" s="2">
        <v>18743.79</v>
      </c>
      <c r="K293">
        <v>87.74</v>
      </c>
      <c r="L293" t="s">
        <v>29</v>
      </c>
      <c r="M293">
        <f>MONTH(Manufacturing[[#This Row],[Production Date]])</f>
        <v>2</v>
      </c>
      <c r="N293">
        <f>YEAR(Manufacturing[[#This Row],[Production Date]])</f>
        <v>2025</v>
      </c>
      <c r="O293" t="str">
        <f t="shared" si="4"/>
        <v>40-49</v>
      </c>
    </row>
    <row r="294" spans="1:15">
      <c r="A294" t="s">
        <v>323</v>
      </c>
      <c r="B294" t="s">
        <v>21</v>
      </c>
      <c r="C294" t="s">
        <v>22</v>
      </c>
      <c r="D294" t="s">
        <v>27</v>
      </c>
      <c r="E294" s="1">
        <v>45747</v>
      </c>
      <c r="F294" s="3">
        <v>4642</v>
      </c>
      <c r="G294" s="3">
        <v>8</v>
      </c>
      <c r="H294">
        <v>7.88</v>
      </c>
      <c r="I294" s="2">
        <v>1576.43</v>
      </c>
      <c r="J294" s="2">
        <v>1856.94</v>
      </c>
      <c r="K294">
        <v>77.150000000000006</v>
      </c>
      <c r="L294" t="s">
        <v>29</v>
      </c>
      <c r="M294">
        <f>MONTH(Manufacturing[[#This Row],[Production Date]])</f>
        <v>3</v>
      </c>
      <c r="N294">
        <f>YEAR(Manufacturing[[#This Row],[Production Date]])</f>
        <v>2025</v>
      </c>
      <c r="O294" t="str">
        <f t="shared" si="4"/>
        <v>0-9</v>
      </c>
    </row>
    <row r="295" spans="1:15">
      <c r="A295" t="s">
        <v>324</v>
      </c>
      <c r="B295" t="s">
        <v>36</v>
      </c>
      <c r="C295" t="s">
        <v>17</v>
      </c>
      <c r="D295" t="s">
        <v>27</v>
      </c>
      <c r="E295" s="1">
        <v>45942</v>
      </c>
      <c r="F295" s="3">
        <v>2385</v>
      </c>
      <c r="G295" s="3">
        <v>7</v>
      </c>
      <c r="H295">
        <v>0.69</v>
      </c>
      <c r="I295" s="2">
        <v>19247.55</v>
      </c>
      <c r="J295" s="2">
        <v>27830.59</v>
      </c>
      <c r="K295">
        <v>75.86</v>
      </c>
      <c r="L295" t="s">
        <v>19</v>
      </c>
      <c r="M295">
        <f>MONTH(Manufacturing[[#This Row],[Production Date]])</f>
        <v>10</v>
      </c>
      <c r="N295">
        <f>YEAR(Manufacturing[[#This Row],[Production Date]])</f>
        <v>2025</v>
      </c>
      <c r="O295" t="str">
        <f t="shared" si="4"/>
        <v>0-9</v>
      </c>
    </row>
    <row r="296" spans="1:15">
      <c r="A296" t="s">
        <v>325</v>
      </c>
      <c r="B296" t="s">
        <v>26</v>
      </c>
      <c r="C296" t="s">
        <v>22</v>
      </c>
      <c r="D296" t="s">
        <v>23</v>
      </c>
      <c r="E296" s="1">
        <v>45823</v>
      </c>
      <c r="F296" s="3">
        <v>130</v>
      </c>
      <c r="G296" s="3">
        <v>13</v>
      </c>
      <c r="H296">
        <v>3.86</v>
      </c>
      <c r="I296" s="2">
        <v>46426.01</v>
      </c>
      <c r="J296" s="2">
        <v>55093.93</v>
      </c>
      <c r="K296">
        <v>77.34</v>
      </c>
      <c r="L296" t="s">
        <v>24</v>
      </c>
      <c r="M296">
        <f>MONTH(Manufacturing[[#This Row],[Production Date]])</f>
        <v>6</v>
      </c>
      <c r="N296">
        <f>YEAR(Manufacturing[[#This Row],[Production Date]])</f>
        <v>2025</v>
      </c>
      <c r="O296" t="str">
        <f t="shared" si="4"/>
        <v>10-19</v>
      </c>
    </row>
    <row r="297" spans="1:15">
      <c r="A297" t="s">
        <v>326</v>
      </c>
      <c r="B297" t="s">
        <v>36</v>
      </c>
      <c r="C297" t="s">
        <v>17</v>
      </c>
      <c r="D297" t="s">
        <v>23</v>
      </c>
      <c r="E297" s="1">
        <v>45879</v>
      </c>
      <c r="F297" s="3">
        <v>2866</v>
      </c>
      <c r="G297" s="3">
        <v>16</v>
      </c>
      <c r="H297">
        <v>4.13</v>
      </c>
      <c r="I297" s="2">
        <v>2825.51</v>
      </c>
      <c r="J297" s="2">
        <v>4009.9</v>
      </c>
      <c r="K297">
        <v>79.099999999999994</v>
      </c>
      <c r="L297" t="s">
        <v>33</v>
      </c>
      <c r="M297">
        <f>MONTH(Manufacturing[[#This Row],[Production Date]])</f>
        <v>8</v>
      </c>
      <c r="N297">
        <f>YEAR(Manufacturing[[#This Row],[Production Date]])</f>
        <v>2025</v>
      </c>
      <c r="O297" t="str">
        <f t="shared" si="4"/>
        <v>10-19</v>
      </c>
    </row>
    <row r="298" spans="1:15">
      <c r="A298" t="s">
        <v>327</v>
      </c>
      <c r="B298" t="s">
        <v>31</v>
      </c>
      <c r="C298" t="s">
        <v>22</v>
      </c>
      <c r="D298" t="s">
        <v>27</v>
      </c>
      <c r="E298" s="1">
        <v>45680</v>
      </c>
      <c r="F298" s="3">
        <v>3866</v>
      </c>
      <c r="G298" s="3">
        <v>24</v>
      </c>
      <c r="H298">
        <v>3.74</v>
      </c>
      <c r="I298" s="2">
        <v>49907.77</v>
      </c>
      <c r="J298" s="2">
        <v>64547.75</v>
      </c>
      <c r="K298">
        <v>96.26</v>
      </c>
      <c r="L298" t="s">
        <v>19</v>
      </c>
      <c r="M298">
        <f>MONTH(Manufacturing[[#This Row],[Production Date]])</f>
        <v>1</v>
      </c>
      <c r="N298">
        <f>YEAR(Manufacturing[[#This Row],[Production Date]])</f>
        <v>2025</v>
      </c>
      <c r="O298" t="str">
        <f t="shared" si="4"/>
        <v>20-29</v>
      </c>
    </row>
    <row r="299" spans="1:15">
      <c r="A299" t="s">
        <v>328</v>
      </c>
      <c r="B299" t="s">
        <v>31</v>
      </c>
      <c r="C299" t="s">
        <v>22</v>
      </c>
      <c r="D299" t="s">
        <v>23</v>
      </c>
      <c r="E299" s="1">
        <v>45828</v>
      </c>
      <c r="F299" s="3">
        <v>1477</v>
      </c>
      <c r="G299" s="3">
        <v>26</v>
      </c>
      <c r="H299">
        <v>1.86</v>
      </c>
      <c r="I299" s="2">
        <v>16074.26</v>
      </c>
      <c r="J299" s="2">
        <v>22302.19</v>
      </c>
      <c r="K299">
        <v>70.989999999999995</v>
      </c>
      <c r="L299" t="s">
        <v>37</v>
      </c>
      <c r="M299">
        <f>MONTH(Manufacturing[[#This Row],[Production Date]])</f>
        <v>6</v>
      </c>
      <c r="N299">
        <f>YEAR(Manufacturing[[#This Row],[Production Date]])</f>
        <v>2025</v>
      </c>
      <c r="O299" t="str">
        <f t="shared" si="4"/>
        <v>20-29</v>
      </c>
    </row>
    <row r="300" spans="1:15">
      <c r="A300" t="s">
        <v>329</v>
      </c>
      <c r="B300" t="s">
        <v>26</v>
      </c>
      <c r="C300" t="s">
        <v>32</v>
      </c>
      <c r="D300" t="s">
        <v>23</v>
      </c>
      <c r="E300" s="1">
        <v>45801</v>
      </c>
      <c r="F300" s="3">
        <v>4622</v>
      </c>
      <c r="G300" s="3">
        <v>16</v>
      </c>
      <c r="H300">
        <v>9.11</v>
      </c>
      <c r="I300" s="2">
        <v>13268.46</v>
      </c>
      <c r="J300" s="2">
        <v>16418.36</v>
      </c>
      <c r="K300">
        <v>89.47</v>
      </c>
      <c r="L300" t="s">
        <v>37</v>
      </c>
      <c r="M300">
        <f>MONTH(Manufacturing[[#This Row],[Production Date]])</f>
        <v>5</v>
      </c>
      <c r="N300">
        <f>YEAR(Manufacturing[[#This Row],[Production Date]])</f>
        <v>2025</v>
      </c>
      <c r="O300" t="str">
        <f t="shared" si="4"/>
        <v>10-19</v>
      </c>
    </row>
    <row r="301" spans="1:15">
      <c r="A301" t="s">
        <v>330</v>
      </c>
      <c r="B301" t="s">
        <v>21</v>
      </c>
      <c r="C301" t="s">
        <v>17</v>
      </c>
      <c r="D301" t="s">
        <v>18</v>
      </c>
      <c r="E301" s="1">
        <v>45665</v>
      </c>
      <c r="F301" s="3">
        <v>3079</v>
      </c>
      <c r="G301" s="3">
        <v>13</v>
      </c>
      <c r="H301">
        <v>9.7200000000000006</v>
      </c>
      <c r="I301" s="2">
        <v>12219.64</v>
      </c>
      <c r="J301" s="2">
        <v>13731.87</v>
      </c>
      <c r="K301">
        <v>92.62</v>
      </c>
      <c r="L301" t="s">
        <v>33</v>
      </c>
      <c r="M301">
        <f>MONTH(Manufacturing[[#This Row],[Production Date]])</f>
        <v>1</v>
      </c>
      <c r="N301">
        <f>YEAR(Manufacturing[[#This Row],[Production Date]])</f>
        <v>2025</v>
      </c>
      <c r="O301" t="str">
        <f t="shared" si="4"/>
        <v>10-19</v>
      </c>
    </row>
    <row r="302" spans="1:15">
      <c r="A302" t="s">
        <v>331</v>
      </c>
      <c r="B302" t="s">
        <v>21</v>
      </c>
      <c r="C302" t="s">
        <v>32</v>
      </c>
      <c r="D302" t="s">
        <v>23</v>
      </c>
      <c r="E302" s="1">
        <v>45756</v>
      </c>
      <c r="F302" s="3">
        <v>1994</v>
      </c>
      <c r="G302" s="3">
        <v>38</v>
      </c>
      <c r="H302">
        <v>2.77</v>
      </c>
      <c r="I302" s="2">
        <v>5078.16</v>
      </c>
      <c r="J302" s="2">
        <v>5919.09</v>
      </c>
      <c r="K302">
        <v>73.349999999999994</v>
      </c>
      <c r="L302" t="s">
        <v>24</v>
      </c>
      <c r="M302">
        <f>MONTH(Manufacturing[[#This Row],[Production Date]])</f>
        <v>4</v>
      </c>
      <c r="N302">
        <f>YEAR(Manufacturing[[#This Row],[Production Date]])</f>
        <v>2025</v>
      </c>
      <c r="O302" t="str">
        <f t="shared" si="4"/>
        <v>30-39</v>
      </c>
    </row>
    <row r="303" spans="1:15">
      <c r="A303" t="s">
        <v>332</v>
      </c>
      <c r="B303" t="s">
        <v>16</v>
      </c>
      <c r="C303" t="s">
        <v>22</v>
      </c>
      <c r="D303" t="s">
        <v>18</v>
      </c>
      <c r="E303" s="1">
        <v>45880</v>
      </c>
      <c r="F303" s="3">
        <v>223</v>
      </c>
      <c r="G303" s="3">
        <v>1</v>
      </c>
      <c r="H303">
        <v>0.15</v>
      </c>
      <c r="I303" s="2">
        <v>32280.35</v>
      </c>
      <c r="J303" s="2">
        <v>41919.980000000003</v>
      </c>
      <c r="K303">
        <v>81.16</v>
      </c>
      <c r="L303" t="s">
        <v>33</v>
      </c>
      <c r="M303">
        <f>MONTH(Manufacturing[[#This Row],[Production Date]])</f>
        <v>8</v>
      </c>
      <c r="N303">
        <f>YEAR(Manufacturing[[#This Row],[Production Date]])</f>
        <v>2025</v>
      </c>
      <c r="O303" t="str">
        <f t="shared" si="4"/>
        <v>0-9</v>
      </c>
    </row>
    <row r="304" spans="1:15">
      <c r="A304" t="s">
        <v>333</v>
      </c>
      <c r="B304" t="s">
        <v>31</v>
      </c>
      <c r="C304" t="s">
        <v>32</v>
      </c>
      <c r="D304" t="s">
        <v>27</v>
      </c>
      <c r="E304" s="1">
        <v>45772</v>
      </c>
      <c r="F304" s="3">
        <v>3040</v>
      </c>
      <c r="G304" s="3">
        <v>41</v>
      </c>
      <c r="H304">
        <v>3.51</v>
      </c>
      <c r="I304" s="2">
        <v>45900.73</v>
      </c>
      <c r="J304" s="2">
        <v>67035.39</v>
      </c>
      <c r="K304">
        <v>70.81</v>
      </c>
      <c r="L304" t="s">
        <v>37</v>
      </c>
      <c r="M304">
        <f>MONTH(Manufacturing[[#This Row],[Production Date]])</f>
        <v>4</v>
      </c>
      <c r="N304">
        <f>YEAR(Manufacturing[[#This Row],[Production Date]])</f>
        <v>2025</v>
      </c>
      <c r="O304" t="str">
        <f t="shared" si="4"/>
        <v>40-49</v>
      </c>
    </row>
    <row r="305" spans="1:15">
      <c r="A305" t="s">
        <v>334</v>
      </c>
      <c r="B305" t="s">
        <v>16</v>
      </c>
      <c r="C305" t="s">
        <v>32</v>
      </c>
      <c r="D305" t="s">
        <v>23</v>
      </c>
      <c r="E305" s="1">
        <v>45811</v>
      </c>
      <c r="F305" s="3">
        <v>3668</v>
      </c>
      <c r="G305" s="3">
        <v>28</v>
      </c>
      <c r="H305">
        <v>6.27</v>
      </c>
      <c r="I305" s="2">
        <v>39997.99</v>
      </c>
      <c r="J305" s="2">
        <v>59611.51</v>
      </c>
      <c r="K305">
        <v>87.37</v>
      </c>
      <c r="L305" t="s">
        <v>37</v>
      </c>
      <c r="M305">
        <f>MONTH(Manufacturing[[#This Row],[Production Date]])</f>
        <v>6</v>
      </c>
      <c r="N305">
        <f>YEAR(Manufacturing[[#This Row],[Production Date]])</f>
        <v>2025</v>
      </c>
      <c r="O305" t="str">
        <f t="shared" si="4"/>
        <v>20-29</v>
      </c>
    </row>
    <row r="306" spans="1:15">
      <c r="A306" t="s">
        <v>335</v>
      </c>
      <c r="B306" t="s">
        <v>21</v>
      </c>
      <c r="C306" t="s">
        <v>17</v>
      </c>
      <c r="D306" t="s">
        <v>18</v>
      </c>
      <c r="E306" s="1">
        <v>45770</v>
      </c>
      <c r="F306" s="3">
        <v>3351</v>
      </c>
      <c r="G306" s="3">
        <v>37</v>
      </c>
      <c r="H306">
        <v>2.31</v>
      </c>
      <c r="I306" s="2">
        <v>19454.52</v>
      </c>
      <c r="J306" s="2">
        <v>26521.49</v>
      </c>
      <c r="K306">
        <v>76.290000000000006</v>
      </c>
      <c r="L306" t="s">
        <v>37</v>
      </c>
      <c r="M306">
        <f>MONTH(Manufacturing[[#This Row],[Production Date]])</f>
        <v>4</v>
      </c>
      <c r="N306">
        <f>YEAR(Manufacturing[[#This Row],[Production Date]])</f>
        <v>2025</v>
      </c>
      <c r="O306" t="str">
        <f t="shared" si="4"/>
        <v>30-39</v>
      </c>
    </row>
    <row r="307" spans="1:15">
      <c r="A307" t="s">
        <v>336</v>
      </c>
      <c r="B307" t="s">
        <v>16</v>
      </c>
      <c r="C307" t="s">
        <v>22</v>
      </c>
      <c r="D307" t="s">
        <v>18</v>
      </c>
      <c r="E307" s="1">
        <v>45638</v>
      </c>
      <c r="F307" s="3">
        <v>2182</v>
      </c>
      <c r="G307" s="3">
        <v>17</v>
      </c>
      <c r="H307">
        <v>3.05</v>
      </c>
      <c r="I307" s="2">
        <v>32842.639999999999</v>
      </c>
      <c r="J307" s="2">
        <v>42819.96</v>
      </c>
      <c r="K307">
        <v>81.36</v>
      </c>
      <c r="L307" t="s">
        <v>19</v>
      </c>
      <c r="M307">
        <f>MONTH(Manufacturing[[#This Row],[Production Date]])</f>
        <v>12</v>
      </c>
      <c r="N307">
        <f>YEAR(Manufacturing[[#This Row],[Production Date]])</f>
        <v>2024</v>
      </c>
      <c r="O307" t="str">
        <f t="shared" si="4"/>
        <v>10-19</v>
      </c>
    </row>
    <row r="308" spans="1:15">
      <c r="A308" t="s">
        <v>337</v>
      </c>
      <c r="B308" t="s">
        <v>26</v>
      </c>
      <c r="C308" t="s">
        <v>22</v>
      </c>
      <c r="D308" t="s">
        <v>18</v>
      </c>
      <c r="E308" s="1">
        <v>45601</v>
      </c>
      <c r="F308" s="3">
        <v>3378</v>
      </c>
      <c r="G308" s="3">
        <v>44</v>
      </c>
      <c r="H308">
        <v>0.92</v>
      </c>
      <c r="I308" s="2">
        <v>42146.16</v>
      </c>
      <c r="J308" s="2">
        <v>62859.98</v>
      </c>
      <c r="K308">
        <v>71.290000000000006</v>
      </c>
      <c r="L308" t="s">
        <v>37</v>
      </c>
      <c r="M308">
        <f>MONTH(Manufacturing[[#This Row],[Production Date]])</f>
        <v>11</v>
      </c>
      <c r="N308">
        <f>YEAR(Manufacturing[[#This Row],[Production Date]])</f>
        <v>2024</v>
      </c>
      <c r="O308" t="str">
        <f t="shared" si="4"/>
        <v>40-49</v>
      </c>
    </row>
    <row r="309" spans="1:15">
      <c r="A309" t="s">
        <v>338</v>
      </c>
      <c r="B309" t="s">
        <v>16</v>
      </c>
      <c r="C309" t="s">
        <v>32</v>
      </c>
      <c r="D309" t="s">
        <v>27</v>
      </c>
      <c r="E309" s="1">
        <v>45627</v>
      </c>
      <c r="F309" s="3">
        <v>4254</v>
      </c>
      <c r="G309" s="3">
        <v>37</v>
      </c>
      <c r="H309">
        <v>1.74</v>
      </c>
      <c r="I309" s="2">
        <v>30418.15</v>
      </c>
      <c r="J309" s="2">
        <v>35217.53</v>
      </c>
      <c r="K309">
        <v>85.44</v>
      </c>
      <c r="L309" t="s">
        <v>19</v>
      </c>
      <c r="M309">
        <f>MONTH(Manufacturing[[#This Row],[Production Date]])</f>
        <v>12</v>
      </c>
      <c r="N309">
        <f>YEAR(Manufacturing[[#This Row],[Production Date]])</f>
        <v>2024</v>
      </c>
      <c r="O309" t="str">
        <f t="shared" si="4"/>
        <v>30-39</v>
      </c>
    </row>
    <row r="310" spans="1:15">
      <c r="A310" t="s">
        <v>339</v>
      </c>
      <c r="B310" t="s">
        <v>21</v>
      </c>
      <c r="C310" t="s">
        <v>17</v>
      </c>
      <c r="D310" t="s">
        <v>23</v>
      </c>
      <c r="E310" s="1">
        <v>45786</v>
      </c>
      <c r="F310" s="3">
        <v>1942</v>
      </c>
      <c r="G310" s="3">
        <v>39</v>
      </c>
      <c r="H310">
        <v>4.45</v>
      </c>
      <c r="I310" s="2">
        <v>9783.77</v>
      </c>
      <c r="J310" s="2">
        <v>11646.68</v>
      </c>
      <c r="K310">
        <v>81.93</v>
      </c>
      <c r="L310" t="s">
        <v>24</v>
      </c>
      <c r="M310">
        <f>MONTH(Manufacturing[[#This Row],[Production Date]])</f>
        <v>5</v>
      </c>
      <c r="N310">
        <f>YEAR(Manufacturing[[#This Row],[Production Date]])</f>
        <v>2025</v>
      </c>
      <c r="O310" t="str">
        <f t="shared" si="4"/>
        <v>30-39</v>
      </c>
    </row>
    <row r="311" spans="1:15">
      <c r="A311" t="s">
        <v>340</v>
      </c>
      <c r="B311" t="s">
        <v>16</v>
      </c>
      <c r="C311" t="s">
        <v>22</v>
      </c>
      <c r="D311" t="s">
        <v>18</v>
      </c>
      <c r="E311" s="1">
        <v>45709</v>
      </c>
      <c r="F311" s="3">
        <v>4975</v>
      </c>
      <c r="G311" s="3">
        <v>1</v>
      </c>
      <c r="H311">
        <v>7.26</v>
      </c>
      <c r="I311" s="2">
        <v>24878.78</v>
      </c>
      <c r="J311" s="2">
        <v>28979.68</v>
      </c>
      <c r="K311">
        <v>82.52</v>
      </c>
      <c r="L311" t="s">
        <v>24</v>
      </c>
      <c r="M311">
        <f>MONTH(Manufacturing[[#This Row],[Production Date]])</f>
        <v>2</v>
      </c>
      <c r="N311">
        <f>YEAR(Manufacturing[[#This Row],[Production Date]])</f>
        <v>2025</v>
      </c>
      <c r="O311" t="str">
        <f t="shared" si="4"/>
        <v>0-9</v>
      </c>
    </row>
    <row r="312" spans="1:15">
      <c r="A312" t="s">
        <v>341</v>
      </c>
      <c r="B312" t="s">
        <v>21</v>
      </c>
      <c r="C312" t="s">
        <v>32</v>
      </c>
      <c r="D312" t="s">
        <v>27</v>
      </c>
      <c r="E312" s="1">
        <v>45682</v>
      </c>
      <c r="F312" s="3">
        <v>649</v>
      </c>
      <c r="G312" s="3">
        <v>40</v>
      </c>
      <c r="H312">
        <v>7.67</v>
      </c>
      <c r="I312" s="2">
        <v>10872.95</v>
      </c>
      <c r="J312" s="2">
        <v>14243.13</v>
      </c>
      <c r="K312">
        <v>92.84</v>
      </c>
      <c r="L312" t="s">
        <v>33</v>
      </c>
      <c r="M312">
        <f>MONTH(Manufacturing[[#This Row],[Production Date]])</f>
        <v>1</v>
      </c>
      <c r="N312">
        <f>YEAR(Manufacturing[[#This Row],[Production Date]])</f>
        <v>2025</v>
      </c>
      <c r="O312" t="str">
        <f t="shared" si="4"/>
        <v>40-49</v>
      </c>
    </row>
    <row r="313" spans="1:15">
      <c r="A313" t="s">
        <v>342</v>
      </c>
      <c r="B313" t="s">
        <v>21</v>
      </c>
      <c r="C313" t="s">
        <v>22</v>
      </c>
      <c r="D313" t="s">
        <v>23</v>
      </c>
      <c r="E313" s="1">
        <v>45788</v>
      </c>
      <c r="F313" s="3">
        <v>2206</v>
      </c>
      <c r="G313" s="3">
        <v>47</v>
      </c>
      <c r="H313">
        <v>0.31</v>
      </c>
      <c r="I313" s="2">
        <v>37360.959999999999</v>
      </c>
      <c r="J313" s="2">
        <v>46719.040000000001</v>
      </c>
      <c r="K313">
        <v>77.95</v>
      </c>
      <c r="L313" t="s">
        <v>37</v>
      </c>
      <c r="M313">
        <f>MONTH(Manufacturing[[#This Row],[Production Date]])</f>
        <v>5</v>
      </c>
      <c r="N313">
        <f>YEAR(Manufacturing[[#This Row],[Production Date]])</f>
        <v>2025</v>
      </c>
      <c r="O313" t="str">
        <f t="shared" si="4"/>
        <v>40-49</v>
      </c>
    </row>
    <row r="314" spans="1:15">
      <c r="A314" t="s">
        <v>343</v>
      </c>
      <c r="B314" t="s">
        <v>26</v>
      </c>
      <c r="C314" t="s">
        <v>22</v>
      </c>
      <c r="D314" t="s">
        <v>23</v>
      </c>
      <c r="E314" s="1">
        <v>45623</v>
      </c>
      <c r="F314" s="3">
        <v>2581</v>
      </c>
      <c r="G314" s="3">
        <v>6</v>
      </c>
      <c r="H314">
        <v>7.7</v>
      </c>
      <c r="I314" s="2">
        <v>6878.25</v>
      </c>
      <c r="J314" s="2">
        <v>9822.32</v>
      </c>
      <c r="K314">
        <v>87.35</v>
      </c>
      <c r="L314" t="s">
        <v>29</v>
      </c>
      <c r="M314">
        <f>MONTH(Manufacturing[[#This Row],[Production Date]])</f>
        <v>11</v>
      </c>
      <c r="N314">
        <f>YEAR(Manufacturing[[#This Row],[Production Date]])</f>
        <v>2024</v>
      </c>
      <c r="O314" t="str">
        <f t="shared" si="4"/>
        <v>0-9</v>
      </c>
    </row>
    <row r="315" spans="1:15">
      <c r="A315" t="s">
        <v>344</v>
      </c>
      <c r="B315" t="s">
        <v>21</v>
      </c>
      <c r="C315" t="s">
        <v>32</v>
      </c>
      <c r="D315" t="s">
        <v>27</v>
      </c>
      <c r="E315" s="1">
        <v>45926</v>
      </c>
      <c r="F315" s="3">
        <v>2600</v>
      </c>
      <c r="G315" s="3">
        <v>25</v>
      </c>
      <c r="H315">
        <v>8.4</v>
      </c>
      <c r="I315" s="2">
        <v>18401.8</v>
      </c>
      <c r="J315" s="2">
        <v>24206.65</v>
      </c>
      <c r="K315">
        <v>70.55</v>
      </c>
      <c r="L315" t="s">
        <v>24</v>
      </c>
      <c r="M315">
        <f>MONTH(Manufacturing[[#This Row],[Production Date]])</f>
        <v>9</v>
      </c>
      <c r="N315">
        <f>YEAR(Manufacturing[[#This Row],[Production Date]])</f>
        <v>2025</v>
      </c>
      <c r="O315" t="str">
        <f t="shared" si="4"/>
        <v>20-29</v>
      </c>
    </row>
    <row r="316" spans="1:15">
      <c r="A316" t="s">
        <v>345</v>
      </c>
      <c r="B316" t="s">
        <v>26</v>
      </c>
      <c r="C316" t="s">
        <v>22</v>
      </c>
      <c r="D316" t="s">
        <v>27</v>
      </c>
      <c r="E316" s="1">
        <v>45799</v>
      </c>
      <c r="F316" s="3">
        <v>1084</v>
      </c>
      <c r="G316" s="3">
        <v>5</v>
      </c>
      <c r="H316">
        <v>9.42</v>
      </c>
      <c r="I316" s="2">
        <v>40416.17</v>
      </c>
      <c r="J316" s="2">
        <v>48562.81</v>
      </c>
      <c r="K316">
        <v>76.52</v>
      </c>
      <c r="L316" t="s">
        <v>33</v>
      </c>
      <c r="M316">
        <f>MONTH(Manufacturing[[#This Row],[Production Date]])</f>
        <v>5</v>
      </c>
      <c r="N316">
        <f>YEAR(Manufacturing[[#This Row],[Production Date]])</f>
        <v>2025</v>
      </c>
      <c r="O316" t="str">
        <f t="shared" si="4"/>
        <v>0-9</v>
      </c>
    </row>
    <row r="317" spans="1:15">
      <c r="A317" t="s">
        <v>346</v>
      </c>
      <c r="B317" t="s">
        <v>21</v>
      </c>
      <c r="C317" t="s">
        <v>22</v>
      </c>
      <c r="D317" t="s">
        <v>27</v>
      </c>
      <c r="E317" s="1">
        <v>45615</v>
      </c>
      <c r="F317" s="3">
        <v>1047</v>
      </c>
      <c r="G317" s="3">
        <v>48</v>
      </c>
      <c r="H317">
        <v>9.31</v>
      </c>
      <c r="I317" s="2">
        <v>12734.04</v>
      </c>
      <c r="J317" s="2">
        <v>17571.259999999998</v>
      </c>
      <c r="K317">
        <v>77.62</v>
      </c>
      <c r="L317" t="s">
        <v>29</v>
      </c>
      <c r="M317">
        <f>MONTH(Manufacturing[[#This Row],[Production Date]])</f>
        <v>11</v>
      </c>
      <c r="N317">
        <f>YEAR(Manufacturing[[#This Row],[Production Date]])</f>
        <v>2024</v>
      </c>
      <c r="O317" t="str">
        <f t="shared" si="4"/>
        <v>40-49</v>
      </c>
    </row>
    <row r="318" spans="1:15">
      <c r="A318" t="s">
        <v>347</v>
      </c>
      <c r="B318" t="s">
        <v>26</v>
      </c>
      <c r="C318" t="s">
        <v>22</v>
      </c>
      <c r="D318" t="s">
        <v>23</v>
      </c>
      <c r="E318" s="1">
        <v>45718</v>
      </c>
      <c r="F318" s="3">
        <v>4042</v>
      </c>
      <c r="G318" s="3">
        <v>23</v>
      </c>
      <c r="H318">
        <v>0.55000000000000004</v>
      </c>
      <c r="I318" s="2">
        <v>13288.74</v>
      </c>
      <c r="J318" s="2">
        <v>16966.45</v>
      </c>
      <c r="K318">
        <v>97.85</v>
      </c>
      <c r="L318" t="s">
        <v>19</v>
      </c>
      <c r="M318">
        <f>MONTH(Manufacturing[[#This Row],[Production Date]])</f>
        <v>3</v>
      </c>
      <c r="N318">
        <f>YEAR(Manufacturing[[#This Row],[Production Date]])</f>
        <v>2025</v>
      </c>
      <c r="O318" t="str">
        <f t="shared" si="4"/>
        <v>20-29</v>
      </c>
    </row>
    <row r="319" spans="1:15">
      <c r="A319" t="s">
        <v>348</v>
      </c>
      <c r="B319" t="s">
        <v>26</v>
      </c>
      <c r="C319" t="s">
        <v>17</v>
      </c>
      <c r="D319" t="s">
        <v>23</v>
      </c>
      <c r="E319" s="1">
        <v>45934</v>
      </c>
      <c r="F319" s="3">
        <v>3094</v>
      </c>
      <c r="G319" s="3">
        <v>32</v>
      </c>
      <c r="H319">
        <v>4.18</v>
      </c>
      <c r="I319" s="2">
        <v>16080.19</v>
      </c>
      <c r="J319" s="2">
        <v>23565.89</v>
      </c>
      <c r="K319">
        <v>77.22</v>
      </c>
      <c r="L319" t="s">
        <v>37</v>
      </c>
      <c r="M319">
        <f>MONTH(Manufacturing[[#This Row],[Production Date]])</f>
        <v>10</v>
      </c>
      <c r="N319">
        <f>YEAR(Manufacturing[[#This Row],[Production Date]])</f>
        <v>2025</v>
      </c>
      <c r="O319" t="str">
        <f t="shared" si="4"/>
        <v>30-39</v>
      </c>
    </row>
    <row r="320" spans="1:15">
      <c r="A320" t="s">
        <v>349</v>
      </c>
      <c r="B320" t="s">
        <v>16</v>
      </c>
      <c r="C320" t="s">
        <v>17</v>
      </c>
      <c r="D320" t="s">
        <v>23</v>
      </c>
      <c r="E320" s="1">
        <v>45854</v>
      </c>
      <c r="F320" s="3">
        <v>1614</v>
      </c>
      <c r="G320" s="3">
        <v>30</v>
      </c>
      <c r="H320">
        <v>4.79</v>
      </c>
      <c r="I320" s="2">
        <v>34378.699999999997</v>
      </c>
      <c r="J320" s="2">
        <v>46383.73</v>
      </c>
      <c r="K320">
        <v>78.97</v>
      </c>
      <c r="L320" t="s">
        <v>33</v>
      </c>
      <c r="M320">
        <f>MONTH(Manufacturing[[#This Row],[Production Date]])</f>
        <v>7</v>
      </c>
      <c r="N320">
        <f>YEAR(Manufacturing[[#This Row],[Production Date]])</f>
        <v>2025</v>
      </c>
      <c r="O320" t="str">
        <f t="shared" si="4"/>
        <v>30-39</v>
      </c>
    </row>
    <row r="321" spans="1:15">
      <c r="A321" t="s">
        <v>350</v>
      </c>
      <c r="B321" t="s">
        <v>26</v>
      </c>
      <c r="C321" t="s">
        <v>22</v>
      </c>
      <c r="D321" t="s">
        <v>27</v>
      </c>
      <c r="E321" s="1">
        <v>45656</v>
      </c>
      <c r="F321" s="3">
        <v>1656</v>
      </c>
      <c r="G321" s="3">
        <v>23</v>
      </c>
      <c r="H321">
        <v>0.09</v>
      </c>
      <c r="I321" s="2">
        <v>20371.490000000002</v>
      </c>
      <c r="J321" s="2">
        <v>29301.37</v>
      </c>
      <c r="K321">
        <v>73.099999999999994</v>
      </c>
      <c r="L321" t="s">
        <v>37</v>
      </c>
      <c r="M321">
        <f>MONTH(Manufacturing[[#This Row],[Production Date]])</f>
        <v>12</v>
      </c>
      <c r="N321">
        <f>YEAR(Manufacturing[[#This Row],[Production Date]])</f>
        <v>2024</v>
      </c>
      <c r="O321" t="str">
        <f t="shared" si="4"/>
        <v>20-29</v>
      </c>
    </row>
    <row r="322" spans="1:15">
      <c r="A322" t="s">
        <v>351</v>
      </c>
      <c r="B322" t="s">
        <v>36</v>
      </c>
      <c r="C322" t="s">
        <v>17</v>
      </c>
      <c r="D322" t="s">
        <v>27</v>
      </c>
      <c r="E322" s="1">
        <v>45612</v>
      </c>
      <c r="F322" s="3">
        <v>3641</v>
      </c>
      <c r="G322" s="3">
        <v>2</v>
      </c>
      <c r="H322">
        <v>3.16</v>
      </c>
      <c r="I322" s="2">
        <v>8934.24</v>
      </c>
      <c r="J322" s="2">
        <v>10323.18</v>
      </c>
      <c r="K322">
        <v>98.51</v>
      </c>
      <c r="L322" t="s">
        <v>37</v>
      </c>
      <c r="M322">
        <f>MONTH(Manufacturing[[#This Row],[Production Date]])</f>
        <v>11</v>
      </c>
      <c r="N322">
        <f>YEAR(Manufacturing[[#This Row],[Production Date]])</f>
        <v>2024</v>
      </c>
      <c r="O322" t="str">
        <f t="shared" si="4"/>
        <v>0-9</v>
      </c>
    </row>
    <row r="323" spans="1:15">
      <c r="A323" t="s">
        <v>352</v>
      </c>
      <c r="B323" t="s">
        <v>31</v>
      </c>
      <c r="C323" t="s">
        <v>17</v>
      </c>
      <c r="D323" t="s">
        <v>23</v>
      </c>
      <c r="E323" s="1">
        <v>45875</v>
      </c>
      <c r="F323" s="3">
        <v>2072</v>
      </c>
      <c r="G323" s="3">
        <v>8</v>
      </c>
      <c r="H323">
        <v>3.04</v>
      </c>
      <c r="I323" s="2">
        <v>39522.480000000003</v>
      </c>
      <c r="J323" s="2">
        <v>51348.83</v>
      </c>
      <c r="K323">
        <v>96.8</v>
      </c>
      <c r="L323" t="s">
        <v>19</v>
      </c>
      <c r="M323">
        <f>MONTH(Manufacturing[[#This Row],[Production Date]])</f>
        <v>8</v>
      </c>
      <c r="N323">
        <f>YEAR(Manufacturing[[#This Row],[Production Date]])</f>
        <v>2025</v>
      </c>
      <c r="O323" t="str">
        <f t="shared" ref="O323:O386" si="5">IF(G323&lt;=9,"0-9",IF(G323&lt;=19,"10-19",IF(G323&lt;=29,"20-29",IF(G323&lt;=39,"30-39",IF(G323&lt;=49,"40-49","50+")))))</f>
        <v>0-9</v>
      </c>
    </row>
    <row r="324" spans="1:15">
      <c r="A324" t="s">
        <v>353</v>
      </c>
      <c r="B324" t="s">
        <v>36</v>
      </c>
      <c r="C324" t="s">
        <v>22</v>
      </c>
      <c r="D324" t="s">
        <v>18</v>
      </c>
      <c r="E324" s="1">
        <v>45613</v>
      </c>
      <c r="F324" s="3">
        <v>4929</v>
      </c>
      <c r="G324" s="3">
        <v>5</v>
      </c>
      <c r="H324">
        <v>2.9</v>
      </c>
      <c r="I324" s="2">
        <v>35072.080000000002</v>
      </c>
      <c r="J324" s="2">
        <v>39570.870000000003</v>
      </c>
      <c r="K324">
        <v>75.61</v>
      </c>
      <c r="L324" t="s">
        <v>33</v>
      </c>
      <c r="M324">
        <f>MONTH(Manufacturing[[#This Row],[Production Date]])</f>
        <v>11</v>
      </c>
      <c r="N324">
        <f>YEAR(Manufacturing[[#This Row],[Production Date]])</f>
        <v>2024</v>
      </c>
      <c r="O324" t="str">
        <f t="shared" si="5"/>
        <v>0-9</v>
      </c>
    </row>
    <row r="325" spans="1:15">
      <c r="A325" t="s">
        <v>354</v>
      </c>
      <c r="B325" t="s">
        <v>36</v>
      </c>
      <c r="C325" t="s">
        <v>17</v>
      </c>
      <c r="D325" t="s">
        <v>27</v>
      </c>
      <c r="E325" s="1">
        <v>45863</v>
      </c>
      <c r="F325" s="3">
        <v>1682</v>
      </c>
      <c r="G325" s="3">
        <v>33</v>
      </c>
      <c r="H325">
        <v>3.02</v>
      </c>
      <c r="I325" s="2">
        <v>25065.16</v>
      </c>
      <c r="J325" s="2">
        <v>31082.92</v>
      </c>
      <c r="K325">
        <v>90.82</v>
      </c>
      <c r="L325" t="s">
        <v>19</v>
      </c>
      <c r="M325">
        <f>MONTH(Manufacturing[[#This Row],[Production Date]])</f>
        <v>7</v>
      </c>
      <c r="N325">
        <f>YEAR(Manufacturing[[#This Row],[Production Date]])</f>
        <v>2025</v>
      </c>
      <c r="O325" t="str">
        <f t="shared" si="5"/>
        <v>30-39</v>
      </c>
    </row>
    <row r="326" spans="1:15">
      <c r="A326" t="s">
        <v>355</v>
      </c>
      <c r="B326" t="s">
        <v>26</v>
      </c>
      <c r="C326" t="s">
        <v>17</v>
      </c>
      <c r="D326" t="s">
        <v>18</v>
      </c>
      <c r="E326" s="1">
        <v>45950</v>
      </c>
      <c r="F326" s="3">
        <v>2850</v>
      </c>
      <c r="G326" s="3">
        <v>49</v>
      </c>
      <c r="H326">
        <v>9.7799999999999994</v>
      </c>
      <c r="I326" s="2">
        <v>1997.45</v>
      </c>
      <c r="J326" s="2">
        <v>2745.22</v>
      </c>
      <c r="K326">
        <v>70.63</v>
      </c>
      <c r="L326" t="s">
        <v>24</v>
      </c>
      <c r="M326">
        <f>MONTH(Manufacturing[[#This Row],[Production Date]])</f>
        <v>10</v>
      </c>
      <c r="N326">
        <f>YEAR(Manufacturing[[#This Row],[Production Date]])</f>
        <v>2025</v>
      </c>
      <c r="O326" t="str">
        <f t="shared" si="5"/>
        <v>40-49</v>
      </c>
    </row>
    <row r="327" spans="1:15">
      <c r="A327" t="s">
        <v>356</v>
      </c>
      <c r="B327" t="s">
        <v>21</v>
      </c>
      <c r="C327" t="s">
        <v>32</v>
      </c>
      <c r="D327" t="s">
        <v>23</v>
      </c>
      <c r="E327" s="1">
        <v>45739</v>
      </c>
      <c r="F327" s="3">
        <v>3336</v>
      </c>
      <c r="G327" s="3">
        <v>15</v>
      </c>
      <c r="H327">
        <v>8.1999999999999993</v>
      </c>
      <c r="I327" s="2">
        <v>12651.69</v>
      </c>
      <c r="J327" s="2">
        <v>17389.5</v>
      </c>
      <c r="K327">
        <v>70.819999999999993</v>
      </c>
      <c r="L327" t="s">
        <v>24</v>
      </c>
      <c r="M327">
        <f>MONTH(Manufacturing[[#This Row],[Production Date]])</f>
        <v>3</v>
      </c>
      <c r="N327">
        <f>YEAR(Manufacturing[[#This Row],[Production Date]])</f>
        <v>2025</v>
      </c>
      <c r="O327" t="str">
        <f t="shared" si="5"/>
        <v>10-19</v>
      </c>
    </row>
    <row r="328" spans="1:15">
      <c r="A328" t="s">
        <v>357</v>
      </c>
      <c r="B328" t="s">
        <v>31</v>
      </c>
      <c r="C328" t="s">
        <v>22</v>
      </c>
      <c r="D328" t="s">
        <v>23</v>
      </c>
      <c r="E328" s="1">
        <v>45863</v>
      </c>
      <c r="F328" s="3">
        <v>1403</v>
      </c>
      <c r="G328" s="3">
        <v>11</v>
      </c>
      <c r="H328">
        <v>4.5999999999999996</v>
      </c>
      <c r="I328" s="2">
        <v>12387.28</v>
      </c>
      <c r="J328" s="2">
        <v>13778.86</v>
      </c>
      <c r="K328">
        <v>79.23</v>
      </c>
      <c r="L328" t="s">
        <v>33</v>
      </c>
      <c r="M328">
        <f>MONTH(Manufacturing[[#This Row],[Production Date]])</f>
        <v>7</v>
      </c>
      <c r="N328">
        <f>YEAR(Manufacturing[[#This Row],[Production Date]])</f>
        <v>2025</v>
      </c>
      <c r="O328" t="str">
        <f t="shared" si="5"/>
        <v>10-19</v>
      </c>
    </row>
    <row r="329" spans="1:15">
      <c r="A329" t="s">
        <v>358</v>
      </c>
      <c r="B329" t="s">
        <v>16</v>
      </c>
      <c r="C329" t="s">
        <v>22</v>
      </c>
      <c r="D329" t="s">
        <v>18</v>
      </c>
      <c r="E329" s="1">
        <v>45665</v>
      </c>
      <c r="F329" s="3">
        <v>4584</v>
      </c>
      <c r="G329" s="3">
        <v>5</v>
      </c>
      <c r="H329">
        <v>9.94</v>
      </c>
      <c r="I329" s="2">
        <v>49264.61</v>
      </c>
      <c r="J329" s="2">
        <v>55325.41</v>
      </c>
      <c r="K329">
        <v>78.77</v>
      </c>
      <c r="L329" t="s">
        <v>37</v>
      </c>
      <c r="M329">
        <f>MONTH(Manufacturing[[#This Row],[Production Date]])</f>
        <v>1</v>
      </c>
      <c r="N329">
        <f>YEAR(Manufacturing[[#This Row],[Production Date]])</f>
        <v>2025</v>
      </c>
      <c r="O329" t="str">
        <f t="shared" si="5"/>
        <v>0-9</v>
      </c>
    </row>
    <row r="330" spans="1:15">
      <c r="A330" t="s">
        <v>359</v>
      </c>
      <c r="B330" t="s">
        <v>36</v>
      </c>
      <c r="C330" t="s">
        <v>32</v>
      </c>
      <c r="D330" t="s">
        <v>27</v>
      </c>
      <c r="E330" s="1">
        <v>45815</v>
      </c>
      <c r="F330" s="3">
        <v>1285</v>
      </c>
      <c r="G330" s="3">
        <v>41</v>
      </c>
      <c r="H330">
        <v>3.72</v>
      </c>
      <c r="I330" s="2">
        <v>36484.589999999997</v>
      </c>
      <c r="J330" s="2">
        <v>48137.83</v>
      </c>
      <c r="K330">
        <v>94.95</v>
      </c>
      <c r="L330" t="s">
        <v>29</v>
      </c>
      <c r="M330">
        <f>MONTH(Manufacturing[[#This Row],[Production Date]])</f>
        <v>6</v>
      </c>
      <c r="N330">
        <f>YEAR(Manufacturing[[#This Row],[Production Date]])</f>
        <v>2025</v>
      </c>
      <c r="O330" t="str">
        <f t="shared" si="5"/>
        <v>40-49</v>
      </c>
    </row>
    <row r="331" spans="1:15">
      <c r="A331" t="s">
        <v>360</v>
      </c>
      <c r="B331" t="s">
        <v>16</v>
      </c>
      <c r="C331" t="s">
        <v>32</v>
      </c>
      <c r="D331" t="s">
        <v>27</v>
      </c>
      <c r="E331" s="1">
        <v>45894</v>
      </c>
      <c r="F331" s="3">
        <v>2583</v>
      </c>
      <c r="G331" s="3">
        <v>47</v>
      </c>
      <c r="H331">
        <v>1.37</v>
      </c>
      <c r="I331" s="2">
        <v>2374.98</v>
      </c>
      <c r="J331" s="2">
        <v>3372.12</v>
      </c>
      <c r="K331">
        <v>91.72</v>
      </c>
      <c r="L331" t="s">
        <v>33</v>
      </c>
      <c r="M331">
        <f>MONTH(Manufacturing[[#This Row],[Production Date]])</f>
        <v>8</v>
      </c>
      <c r="N331">
        <f>YEAR(Manufacturing[[#This Row],[Production Date]])</f>
        <v>2025</v>
      </c>
      <c r="O331" t="str">
        <f t="shared" si="5"/>
        <v>40-49</v>
      </c>
    </row>
    <row r="332" spans="1:15">
      <c r="A332" t="s">
        <v>361</v>
      </c>
      <c r="B332" t="s">
        <v>31</v>
      </c>
      <c r="C332" t="s">
        <v>17</v>
      </c>
      <c r="D332" t="s">
        <v>23</v>
      </c>
      <c r="E332" s="1">
        <v>45934</v>
      </c>
      <c r="F332" s="3">
        <v>3411</v>
      </c>
      <c r="G332" s="3">
        <v>9</v>
      </c>
      <c r="H332">
        <v>7.66</v>
      </c>
      <c r="I332" s="2">
        <v>33505.919999999998</v>
      </c>
      <c r="J332" s="2">
        <v>39494.339999999997</v>
      </c>
      <c r="K332">
        <v>87.78</v>
      </c>
      <c r="L332" t="s">
        <v>19</v>
      </c>
      <c r="M332">
        <f>MONTH(Manufacturing[[#This Row],[Production Date]])</f>
        <v>10</v>
      </c>
      <c r="N332">
        <f>YEAR(Manufacturing[[#This Row],[Production Date]])</f>
        <v>2025</v>
      </c>
      <c r="O332" t="str">
        <f t="shared" si="5"/>
        <v>0-9</v>
      </c>
    </row>
    <row r="333" spans="1:15">
      <c r="A333" t="s">
        <v>362</v>
      </c>
      <c r="B333" t="s">
        <v>31</v>
      </c>
      <c r="C333" t="s">
        <v>22</v>
      </c>
      <c r="D333" t="s">
        <v>18</v>
      </c>
      <c r="E333" s="1">
        <v>45703</v>
      </c>
      <c r="F333" s="3">
        <v>2433</v>
      </c>
      <c r="G333" s="3">
        <v>35</v>
      </c>
      <c r="H333">
        <v>0.86</v>
      </c>
      <c r="I333" s="2">
        <v>8176.4</v>
      </c>
      <c r="J333" s="2">
        <v>11103.38</v>
      </c>
      <c r="K333">
        <v>90.99</v>
      </c>
      <c r="L333" t="s">
        <v>19</v>
      </c>
      <c r="M333">
        <f>MONTH(Manufacturing[[#This Row],[Production Date]])</f>
        <v>2</v>
      </c>
      <c r="N333">
        <f>YEAR(Manufacturing[[#This Row],[Production Date]])</f>
        <v>2025</v>
      </c>
      <c r="O333" t="str">
        <f t="shared" si="5"/>
        <v>30-39</v>
      </c>
    </row>
    <row r="334" spans="1:15">
      <c r="A334" t="s">
        <v>363</v>
      </c>
      <c r="B334" t="s">
        <v>21</v>
      </c>
      <c r="C334" t="s">
        <v>32</v>
      </c>
      <c r="D334" t="s">
        <v>23</v>
      </c>
      <c r="E334" s="1">
        <v>45731</v>
      </c>
      <c r="F334" s="3">
        <v>526</v>
      </c>
      <c r="G334" s="3">
        <v>40</v>
      </c>
      <c r="H334">
        <v>0.05</v>
      </c>
      <c r="I334" s="2">
        <v>42154.77</v>
      </c>
      <c r="J334" s="2">
        <v>47642.34</v>
      </c>
      <c r="K334">
        <v>72.16</v>
      </c>
      <c r="L334" t="s">
        <v>29</v>
      </c>
      <c r="M334">
        <f>MONTH(Manufacturing[[#This Row],[Production Date]])</f>
        <v>3</v>
      </c>
      <c r="N334">
        <f>YEAR(Manufacturing[[#This Row],[Production Date]])</f>
        <v>2025</v>
      </c>
      <c r="O334" t="str">
        <f t="shared" si="5"/>
        <v>40-49</v>
      </c>
    </row>
    <row r="335" spans="1:15">
      <c r="A335" t="s">
        <v>364</v>
      </c>
      <c r="B335" t="s">
        <v>31</v>
      </c>
      <c r="C335" t="s">
        <v>32</v>
      </c>
      <c r="D335" t="s">
        <v>23</v>
      </c>
      <c r="E335" s="1">
        <v>45909</v>
      </c>
      <c r="F335" s="3">
        <v>224</v>
      </c>
      <c r="G335" s="3">
        <v>37</v>
      </c>
      <c r="H335">
        <v>3.21</v>
      </c>
      <c r="I335" s="2">
        <v>35287.07</v>
      </c>
      <c r="J335" s="2">
        <v>51894.68</v>
      </c>
      <c r="K335">
        <v>91.48</v>
      </c>
      <c r="L335" t="s">
        <v>37</v>
      </c>
      <c r="M335">
        <f>MONTH(Manufacturing[[#This Row],[Production Date]])</f>
        <v>9</v>
      </c>
      <c r="N335">
        <f>YEAR(Manufacturing[[#This Row],[Production Date]])</f>
        <v>2025</v>
      </c>
      <c r="O335" t="str">
        <f t="shared" si="5"/>
        <v>30-39</v>
      </c>
    </row>
    <row r="336" spans="1:15">
      <c r="A336" t="s">
        <v>365</v>
      </c>
      <c r="B336" t="s">
        <v>26</v>
      </c>
      <c r="C336" t="s">
        <v>17</v>
      </c>
      <c r="D336" t="s">
        <v>27</v>
      </c>
      <c r="E336" s="1">
        <v>45888</v>
      </c>
      <c r="F336" s="3">
        <v>2488</v>
      </c>
      <c r="G336" s="3">
        <v>7</v>
      </c>
      <c r="H336">
        <v>9.16</v>
      </c>
      <c r="I336" s="2">
        <v>43502.5</v>
      </c>
      <c r="J336" s="2">
        <v>55898.93</v>
      </c>
      <c r="K336">
        <v>72.900000000000006</v>
      </c>
      <c r="L336" t="s">
        <v>19</v>
      </c>
      <c r="M336">
        <f>MONTH(Manufacturing[[#This Row],[Production Date]])</f>
        <v>8</v>
      </c>
      <c r="N336">
        <f>YEAR(Manufacturing[[#This Row],[Production Date]])</f>
        <v>2025</v>
      </c>
      <c r="O336" t="str">
        <f t="shared" si="5"/>
        <v>0-9</v>
      </c>
    </row>
    <row r="337" spans="1:15">
      <c r="A337" t="s">
        <v>366</v>
      </c>
      <c r="B337" t="s">
        <v>26</v>
      </c>
      <c r="C337" t="s">
        <v>22</v>
      </c>
      <c r="D337" t="s">
        <v>23</v>
      </c>
      <c r="E337" s="1">
        <v>45826</v>
      </c>
      <c r="F337" s="3">
        <v>2465</v>
      </c>
      <c r="G337" s="3">
        <v>32</v>
      </c>
      <c r="H337">
        <v>4.0999999999999996</v>
      </c>
      <c r="I337" s="2">
        <v>40476.47</v>
      </c>
      <c r="J337" s="2">
        <v>53706.21</v>
      </c>
      <c r="K337">
        <v>70.88</v>
      </c>
      <c r="L337" t="s">
        <v>33</v>
      </c>
      <c r="M337">
        <f>MONTH(Manufacturing[[#This Row],[Production Date]])</f>
        <v>6</v>
      </c>
      <c r="N337">
        <f>YEAR(Manufacturing[[#This Row],[Production Date]])</f>
        <v>2025</v>
      </c>
      <c r="O337" t="str">
        <f t="shared" si="5"/>
        <v>30-39</v>
      </c>
    </row>
    <row r="338" spans="1:15">
      <c r="A338" t="s">
        <v>367</v>
      </c>
      <c r="B338" t="s">
        <v>16</v>
      </c>
      <c r="C338" t="s">
        <v>17</v>
      </c>
      <c r="D338" t="s">
        <v>27</v>
      </c>
      <c r="E338" s="1">
        <v>45864</v>
      </c>
      <c r="F338" s="3">
        <v>4501</v>
      </c>
      <c r="G338" s="3">
        <v>5</v>
      </c>
      <c r="H338">
        <v>8.84</v>
      </c>
      <c r="I338" s="2">
        <v>32386.99</v>
      </c>
      <c r="J338" s="2">
        <v>39153.61</v>
      </c>
      <c r="K338">
        <v>81.099999999999994</v>
      </c>
      <c r="L338" t="s">
        <v>19</v>
      </c>
      <c r="M338">
        <f>MONTH(Manufacturing[[#This Row],[Production Date]])</f>
        <v>7</v>
      </c>
      <c r="N338">
        <f>YEAR(Manufacturing[[#This Row],[Production Date]])</f>
        <v>2025</v>
      </c>
      <c r="O338" t="str">
        <f t="shared" si="5"/>
        <v>0-9</v>
      </c>
    </row>
    <row r="339" spans="1:15">
      <c r="A339" t="s">
        <v>368</v>
      </c>
      <c r="B339" t="s">
        <v>36</v>
      </c>
      <c r="C339" t="s">
        <v>17</v>
      </c>
      <c r="D339" t="s">
        <v>23</v>
      </c>
      <c r="E339" s="1">
        <v>45771</v>
      </c>
      <c r="F339" s="3">
        <v>2346</v>
      </c>
      <c r="G339" s="3">
        <v>49</v>
      </c>
      <c r="H339">
        <v>6.14</v>
      </c>
      <c r="I339" s="2">
        <v>24462.06</v>
      </c>
      <c r="J339" s="2">
        <v>30010.3</v>
      </c>
      <c r="K339">
        <v>99.71</v>
      </c>
      <c r="L339" t="s">
        <v>33</v>
      </c>
      <c r="M339">
        <f>MONTH(Manufacturing[[#This Row],[Production Date]])</f>
        <v>4</v>
      </c>
      <c r="N339">
        <f>YEAR(Manufacturing[[#This Row],[Production Date]])</f>
        <v>2025</v>
      </c>
      <c r="O339" t="str">
        <f t="shared" si="5"/>
        <v>40-49</v>
      </c>
    </row>
    <row r="340" spans="1:15">
      <c r="A340" t="s">
        <v>369</v>
      </c>
      <c r="B340" t="s">
        <v>26</v>
      </c>
      <c r="C340" t="s">
        <v>32</v>
      </c>
      <c r="D340" t="s">
        <v>18</v>
      </c>
      <c r="E340" s="1">
        <v>45916</v>
      </c>
      <c r="F340" s="3">
        <v>630</v>
      </c>
      <c r="G340" s="3">
        <v>21</v>
      </c>
      <c r="H340">
        <v>3.87</v>
      </c>
      <c r="I340" s="2">
        <v>32380.35</v>
      </c>
      <c r="J340" s="2">
        <v>45409.66</v>
      </c>
      <c r="K340">
        <v>84.11</v>
      </c>
      <c r="L340" t="s">
        <v>24</v>
      </c>
      <c r="M340">
        <f>MONTH(Manufacturing[[#This Row],[Production Date]])</f>
        <v>9</v>
      </c>
      <c r="N340">
        <f>YEAR(Manufacturing[[#This Row],[Production Date]])</f>
        <v>2025</v>
      </c>
      <c r="O340" t="str">
        <f t="shared" si="5"/>
        <v>20-29</v>
      </c>
    </row>
    <row r="341" spans="1:15">
      <c r="A341" t="s">
        <v>370</v>
      </c>
      <c r="B341" t="s">
        <v>36</v>
      </c>
      <c r="C341" t="s">
        <v>17</v>
      </c>
      <c r="D341" t="s">
        <v>27</v>
      </c>
      <c r="E341" s="1">
        <v>45877</v>
      </c>
      <c r="F341" s="3">
        <v>1141</v>
      </c>
      <c r="G341" s="3">
        <v>17</v>
      </c>
      <c r="H341">
        <v>0.22</v>
      </c>
      <c r="I341" s="2">
        <v>44626.32</v>
      </c>
      <c r="J341" s="2">
        <v>54102.66</v>
      </c>
      <c r="K341">
        <v>84.2</v>
      </c>
      <c r="L341" t="s">
        <v>37</v>
      </c>
      <c r="M341">
        <f>MONTH(Manufacturing[[#This Row],[Production Date]])</f>
        <v>8</v>
      </c>
      <c r="N341">
        <f>YEAR(Manufacturing[[#This Row],[Production Date]])</f>
        <v>2025</v>
      </c>
      <c r="O341" t="str">
        <f t="shared" si="5"/>
        <v>10-19</v>
      </c>
    </row>
    <row r="342" spans="1:15">
      <c r="A342" t="s">
        <v>371</v>
      </c>
      <c r="B342" t="s">
        <v>21</v>
      </c>
      <c r="C342" t="s">
        <v>17</v>
      </c>
      <c r="D342" t="s">
        <v>27</v>
      </c>
      <c r="E342" s="1">
        <v>45785</v>
      </c>
      <c r="F342" s="3">
        <v>3540</v>
      </c>
      <c r="G342" s="3">
        <v>42</v>
      </c>
      <c r="H342">
        <v>7.44</v>
      </c>
      <c r="I342" s="2">
        <v>21516.19</v>
      </c>
      <c r="J342" s="2">
        <v>23981.66</v>
      </c>
      <c r="K342">
        <v>76.06</v>
      </c>
      <c r="L342" t="s">
        <v>29</v>
      </c>
      <c r="M342">
        <f>MONTH(Manufacturing[[#This Row],[Production Date]])</f>
        <v>5</v>
      </c>
      <c r="N342">
        <f>YEAR(Manufacturing[[#This Row],[Production Date]])</f>
        <v>2025</v>
      </c>
      <c r="O342" t="str">
        <f t="shared" si="5"/>
        <v>40-49</v>
      </c>
    </row>
    <row r="343" spans="1:15">
      <c r="A343" t="s">
        <v>372</v>
      </c>
      <c r="B343" t="s">
        <v>31</v>
      </c>
      <c r="C343" t="s">
        <v>32</v>
      </c>
      <c r="D343" t="s">
        <v>18</v>
      </c>
      <c r="E343" s="1">
        <v>45702</v>
      </c>
      <c r="F343" s="3">
        <v>2331</v>
      </c>
      <c r="G343" s="3">
        <v>44</v>
      </c>
      <c r="H343">
        <v>3.55</v>
      </c>
      <c r="I343" s="2">
        <v>42073.05</v>
      </c>
      <c r="J343" s="2">
        <v>60488.02</v>
      </c>
      <c r="K343">
        <v>79.53</v>
      </c>
      <c r="L343" t="s">
        <v>37</v>
      </c>
      <c r="M343">
        <f>MONTH(Manufacturing[[#This Row],[Production Date]])</f>
        <v>2</v>
      </c>
      <c r="N343">
        <f>YEAR(Manufacturing[[#This Row],[Production Date]])</f>
        <v>2025</v>
      </c>
      <c r="O343" t="str">
        <f t="shared" si="5"/>
        <v>40-49</v>
      </c>
    </row>
    <row r="344" spans="1:15">
      <c r="A344" t="s">
        <v>373</v>
      </c>
      <c r="B344" t="s">
        <v>26</v>
      </c>
      <c r="C344" t="s">
        <v>22</v>
      </c>
      <c r="D344" t="s">
        <v>18</v>
      </c>
      <c r="E344" s="1">
        <v>45678</v>
      </c>
      <c r="F344" s="3">
        <v>3416</v>
      </c>
      <c r="G344" s="3">
        <v>18</v>
      </c>
      <c r="H344">
        <v>2.66</v>
      </c>
      <c r="I344" s="2">
        <v>22056.83</v>
      </c>
      <c r="J344" s="2">
        <v>30348.87</v>
      </c>
      <c r="K344">
        <v>73.010000000000005</v>
      </c>
      <c r="L344" t="s">
        <v>19</v>
      </c>
      <c r="M344">
        <f>MONTH(Manufacturing[[#This Row],[Production Date]])</f>
        <v>1</v>
      </c>
      <c r="N344">
        <f>YEAR(Manufacturing[[#This Row],[Production Date]])</f>
        <v>2025</v>
      </c>
      <c r="O344" t="str">
        <f t="shared" si="5"/>
        <v>10-19</v>
      </c>
    </row>
    <row r="345" spans="1:15">
      <c r="A345" t="s">
        <v>374</v>
      </c>
      <c r="B345" t="s">
        <v>36</v>
      </c>
      <c r="C345" t="s">
        <v>17</v>
      </c>
      <c r="D345" t="s">
        <v>18</v>
      </c>
      <c r="E345" s="1">
        <v>45874</v>
      </c>
      <c r="F345" s="3">
        <v>3043</v>
      </c>
      <c r="G345" s="3">
        <v>10</v>
      </c>
      <c r="H345">
        <v>4.22</v>
      </c>
      <c r="I345" s="2">
        <v>38548.94</v>
      </c>
      <c r="J345" s="2">
        <v>52634.55</v>
      </c>
      <c r="K345">
        <v>78.27</v>
      </c>
      <c r="L345" t="s">
        <v>33</v>
      </c>
      <c r="M345">
        <f>MONTH(Manufacturing[[#This Row],[Production Date]])</f>
        <v>8</v>
      </c>
      <c r="N345">
        <f>YEAR(Manufacturing[[#This Row],[Production Date]])</f>
        <v>2025</v>
      </c>
      <c r="O345" t="str">
        <f t="shared" si="5"/>
        <v>10-19</v>
      </c>
    </row>
    <row r="346" spans="1:15">
      <c r="A346" t="s">
        <v>375</v>
      </c>
      <c r="B346" t="s">
        <v>31</v>
      </c>
      <c r="C346" t="s">
        <v>22</v>
      </c>
      <c r="D346" t="s">
        <v>27</v>
      </c>
      <c r="E346" s="1">
        <v>45750</v>
      </c>
      <c r="F346" s="3">
        <v>3674</v>
      </c>
      <c r="G346" s="3">
        <v>37</v>
      </c>
      <c r="H346">
        <v>7.37</v>
      </c>
      <c r="I346" s="2">
        <v>10718.14</v>
      </c>
      <c r="J346" s="2">
        <v>12406.56</v>
      </c>
      <c r="K346">
        <v>85.23</v>
      </c>
      <c r="L346" t="s">
        <v>33</v>
      </c>
      <c r="M346">
        <f>MONTH(Manufacturing[[#This Row],[Production Date]])</f>
        <v>4</v>
      </c>
      <c r="N346">
        <f>YEAR(Manufacturing[[#This Row],[Production Date]])</f>
        <v>2025</v>
      </c>
      <c r="O346" t="str">
        <f t="shared" si="5"/>
        <v>30-39</v>
      </c>
    </row>
    <row r="347" spans="1:15">
      <c r="A347" t="s">
        <v>376</v>
      </c>
      <c r="B347" t="s">
        <v>21</v>
      </c>
      <c r="C347" t="s">
        <v>22</v>
      </c>
      <c r="D347" t="s">
        <v>18</v>
      </c>
      <c r="E347" s="1">
        <v>45897</v>
      </c>
      <c r="F347" s="3">
        <v>761</v>
      </c>
      <c r="G347" s="3">
        <v>6</v>
      </c>
      <c r="H347">
        <v>2.69</v>
      </c>
      <c r="I347" s="2">
        <v>35057.51</v>
      </c>
      <c r="J347" s="2">
        <v>43970.74</v>
      </c>
      <c r="K347">
        <v>79.739999999999995</v>
      </c>
      <c r="L347" t="s">
        <v>33</v>
      </c>
      <c r="M347">
        <f>MONTH(Manufacturing[[#This Row],[Production Date]])</f>
        <v>8</v>
      </c>
      <c r="N347">
        <f>YEAR(Manufacturing[[#This Row],[Production Date]])</f>
        <v>2025</v>
      </c>
      <c r="O347" t="str">
        <f t="shared" si="5"/>
        <v>0-9</v>
      </c>
    </row>
    <row r="348" spans="1:15">
      <c r="A348" t="s">
        <v>377</v>
      </c>
      <c r="B348" t="s">
        <v>21</v>
      </c>
      <c r="C348" t="s">
        <v>17</v>
      </c>
      <c r="D348" t="s">
        <v>18</v>
      </c>
      <c r="E348" s="1">
        <v>45690</v>
      </c>
      <c r="F348" s="3">
        <v>3569</v>
      </c>
      <c r="G348" s="3">
        <v>6</v>
      </c>
      <c r="H348">
        <v>8.0500000000000007</v>
      </c>
      <c r="I348" s="2">
        <v>31536.27</v>
      </c>
      <c r="J348" s="2">
        <v>41852.1</v>
      </c>
      <c r="K348">
        <v>88.77</v>
      </c>
      <c r="L348" t="s">
        <v>24</v>
      </c>
      <c r="M348">
        <f>MONTH(Manufacturing[[#This Row],[Production Date]])</f>
        <v>2</v>
      </c>
      <c r="N348">
        <f>YEAR(Manufacturing[[#This Row],[Production Date]])</f>
        <v>2025</v>
      </c>
      <c r="O348" t="str">
        <f t="shared" si="5"/>
        <v>0-9</v>
      </c>
    </row>
    <row r="349" spans="1:15">
      <c r="A349" t="s">
        <v>378</v>
      </c>
      <c r="B349" t="s">
        <v>36</v>
      </c>
      <c r="C349" t="s">
        <v>32</v>
      </c>
      <c r="D349" t="s">
        <v>23</v>
      </c>
      <c r="E349" s="1">
        <v>45813</v>
      </c>
      <c r="F349" s="3">
        <v>2203</v>
      </c>
      <c r="G349" s="3">
        <v>25</v>
      </c>
      <c r="H349">
        <v>3.79</v>
      </c>
      <c r="I349" s="2">
        <v>31435.62</v>
      </c>
      <c r="J349" s="2">
        <v>36463.870000000003</v>
      </c>
      <c r="K349">
        <v>77.44</v>
      </c>
      <c r="L349" t="s">
        <v>19</v>
      </c>
      <c r="M349">
        <f>MONTH(Manufacturing[[#This Row],[Production Date]])</f>
        <v>6</v>
      </c>
      <c r="N349">
        <f>YEAR(Manufacturing[[#This Row],[Production Date]])</f>
        <v>2025</v>
      </c>
      <c r="O349" t="str">
        <f t="shared" si="5"/>
        <v>20-29</v>
      </c>
    </row>
    <row r="350" spans="1:15">
      <c r="A350" t="s">
        <v>379</v>
      </c>
      <c r="B350" t="s">
        <v>16</v>
      </c>
      <c r="C350" t="s">
        <v>17</v>
      </c>
      <c r="D350" t="s">
        <v>18</v>
      </c>
      <c r="E350" s="1">
        <v>45895</v>
      </c>
      <c r="F350" s="3">
        <v>185</v>
      </c>
      <c r="G350" s="3">
        <v>39</v>
      </c>
      <c r="H350">
        <v>2.4</v>
      </c>
      <c r="I350" s="2">
        <v>21045.919999999998</v>
      </c>
      <c r="J350" s="2">
        <v>23245.09</v>
      </c>
      <c r="K350">
        <v>72.849999999999994</v>
      </c>
      <c r="L350" t="s">
        <v>29</v>
      </c>
      <c r="M350">
        <f>MONTH(Manufacturing[[#This Row],[Production Date]])</f>
        <v>8</v>
      </c>
      <c r="N350">
        <f>YEAR(Manufacturing[[#This Row],[Production Date]])</f>
        <v>2025</v>
      </c>
      <c r="O350" t="str">
        <f t="shared" si="5"/>
        <v>30-39</v>
      </c>
    </row>
    <row r="351" spans="1:15">
      <c r="A351" t="s">
        <v>380</v>
      </c>
      <c r="B351" t="s">
        <v>21</v>
      </c>
      <c r="C351" t="s">
        <v>32</v>
      </c>
      <c r="D351" t="s">
        <v>23</v>
      </c>
      <c r="E351" s="1">
        <v>45598</v>
      </c>
      <c r="F351" s="3">
        <v>2658</v>
      </c>
      <c r="G351" s="3">
        <v>18</v>
      </c>
      <c r="H351">
        <v>8.81</v>
      </c>
      <c r="I351" s="2">
        <v>31840.16</v>
      </c>
      <c r="J351" s="2">
        <v>45461.120000000003</v>
      </c>
      <c r="K351">
        <v>89.9</v>
      </c>
      <c r="L351" t="s">
        <v>37</v>
      </c>
      <c r="M351">
        <f>MONTH(Manufacturing[[#This Row],[Production Date]])</f>
        <v>11</v>
      </c>
      <c r="N351">
        <f>YEAR(Manufacturing[[#This Row],[Production Date]])</f>
        <v>2024</v>
      </c>
      <c r="O351" t="str">
        <f t="shared" si="5"/>
        <v>10-19</v>
      </c>
    </row>
    <row r="352" spans="1:15">
      <c r="A352" t="s">
        <v>381</v>
      </c>
      <c r="B352" t="s">
        <v>31</v>
      </c>
      <c r="C352" t="s">
        <v>17</v>
      </c>
      <c r="D352" t="s">
        <v>23</v>
      </c>
      <c r="E352" s="1">
        <v>45908</v>
      </c>
      <c r="F352" s="3">
        <v>4160</v>
      </c>
      <c r="G352" s="3">
        <v>39</v>
      </c>
      <c r="H352">
        <v>7.07</v>
      </c>
      <c r="I352" s="2">
        <v>33706.519999999997</v>
      </c>
      <c r="J352" s="2">
        <v>44226.55</v>
      </c>
      <c r="K352">
        <v>94.68</v>
      </c>
      <c r="L352" t="s">
        <v>33</v>
      </c>
      <c r="M352">
        <f>MONTH(Manufacturing[[#This Row],[Production Date]])</f>
        <v>9</v>
      </c>
      <c r="N352">
        <f>YEAR(Manufacturing[[#This Row],[Production Date]])</f>
        <v>2025</v>
      </c>
      <c r="O352" t="str">
        <f t="shared" si="5"/>
        <v>30-39</v>
      </c>
    </row>
    <row r="353" spans="1:15">
      <c r="A353" t="s">
        <v>382</v>
      </c>
      <c r="B353" t="s">
        <v>16</v>
      </c>
      <c r="C353" t="s">
        <v>17</v>
      </c>
      <c r="D353" t="s">
        <v>27</v>
      </c>
      <c r="E353" s="1">
        <v>45658</v>
      </c>
      <c r="F353" s="3">
        <v>2996</v>
      </c>
      <c r="G353" s="3">
        <v>29</v>
      </c>
      <c r="H353">
        <v>3.5</v>
      </c>
      <c r="I353" s="2">
        <v>3318.98</v>
      </c>
      <c r="J353" s="2">
        <v>4435.3</v>
      </c>
      <c r="K353">
        <v>74.2</v>
      </c>
      <c r="L353" t="s">
        <v>24</v>
      </c>
      <c r="M353">
        <f>MONTH(Manufacturing[[#This Row],[Production Date]])</f>
        <v>1</v>
      </c>
      <c r="N353">
        <f>YEAR(Manufacturing[[#This Row],[Production Date]])</f>
        <v>2025</v>
      </c>
      <c r="O353" t="str">
        <f t="shared" si="5"/>
        <v>20-29</v>
      </c>
    </row>
    <row r="354" spans="1:15">
      <c r="A354" t="s">
        <v>383</v>
      </c>
      <c r="B354" t="s">
        <v>31</v>
      </c>
      <c r="C354" t="s">
        <v>22</v>
      </c>
      <c r="D354" t="s">
        <v>27</v>
      </c>
      <c r="E354" s="1">
        <v>45685</v>
      </c>
      <c r="F354" s="3">
        <v>4850</v>
      </c>
      <c r="G354" s="3">
        <v>34</v>
      </c>
      <c r="H354">
        <v>4.3600000000000003</v>
      </c>
      <c r="I354" s="2">
        <v>38873.03</v>
      </c>
      <c r="J354" s="2">
        <v>45435.07</v>
      </c>
      <c r="K354">
        <v>85.76</v>
      </c>
      <c r="L354" t="s">
        <v>19</v>
      </c>
      <c r="M354">
        <f>MONTH(Manufacturing[[#This Row],[Production Date]])</f>
        <v>1</v>
      </c>
      <c r="N354">
        <f>YEAR(Manufacturing[[#This Row],[Production Date]])</f>
        <v>2025</v>
      </c>
      <c r="O354" t="str">
        <f t="shared" si="5"/>
        <v>30-39</v>
      </c>
    </row>
    <row r="355" spans="1:15">
      <c r="A355" t="s">
        <v>384</v>
      </c>
      <c r="B355" t="s">
        <v>36</v>
      </c>
      <c r="C355" t="s">
        <v>17</v>
      </c>
      <c r="D355" t="s">
        <v>18</v>
      </c>
      <c r="E355" s="1">
        <v>45891</v>
      </c>
      <c r="F355" s="3">
        <v>694</v>
      </c>
      <c r="G355" s="3">
        <v>22</v>
      </c>
      <c r="H355">
        <v>5.2</v>
      </c>
      <c r="I355" s="2">
        <v>19005.34</v>
      </c>
      <c r="J355" s="2">
        <v>26839.53</v>
      </c>
      <c r="K355">
        <v>92.88</v>
      </c>
      <c r="L355" t="s">
        <v>24</v>
      </c>
      <c r="M355">
        <f>MONTH(Manufacturing[[#This Row],[Production Date]])</f>
        <v>8</v>
      </c>
      <c r="N355">
        <f>YEAR(Manufacturing[[#This Row],[Production Date]])</f>
        <v>2025</v>
      </c>
      <c r="O355" t="str">
        <f t="shared" si="5"/>
        <v>20-29</v>
      </c>
    </row>
    <row r="356" spans="1:15">
      <c r="A356" t="s">
        <v>385</v>
      </c>
      <c r="B356" t="s">
        <v>26</v>
      </c>
      <c r="C356" t="s">
        <v>17</v>
      </c>
      <c r="D356" t="s">
        <v>18</v>
      </c>
      <c r="E356" s="1">
        <v>45703</v>
      </c>
      <c r="F356" s="3">
        <v>4013</v>
      </c>
      <c r="G356" s="3">
        <v>18</v>
      </c>
      <c r="H356">
        <v>3.78</v>
      </c>
      <c r="I356" s="2">
        <v>33864.269999999997</v>
      </c>
      <c r="J356" s="2">
        <v>44463.99</v>
      </c>
      <c r="K356">
        <v>75.73</v>
      </c>
      <c r="L356" t="s">
        <v>24</v>
      </c>
      <c r="M356">
        <f>MONTH(Manufacturing[[#This Row],[Production Date]])</f>
        <v>2</v>
      </c>
      <c r="N356">
        <f>YEAR(Manufacturing[[#This Row],[Production Date]])</f>
        <v>2025</v>
      </c>
      <c r="O356" t="str">
        <f t="shared" si="5"/>
        <v>10-19</v>
      </c>
    </row>
    <row r="357" spans="1:15">
      <c r="A357" t="s">
        <v>386</v>
      </c>
      <c r="B357" t="s">
        <v>31</v>
      </c>
      <c r="C357" t="s">
        <v>17</v>
      </c>
      <c r="D357" t="s">
        <v>18</v>
      </c>
      <c r="E357" s="1">
        <v>45846</v>
      </c>
      <c r="F357" s="3">
        <v>4591</v>
      </c>
      <c r="G357" s="3">
        <v>22</v>
      </c>
      <c r="H357">
        <v>6.97</v>
      </c>
      <c r="I357" s="2">
        <v>39227.019999999997</v>
      </c>
      <c r="J357" s="2">
        <v>57976.09</v>
      </c>
      <c r="K357">
        <v>88.82</v>
      </c>
      <c r="L357" t="s">
        <v>37</v>
      </c>
      <c r="M357">
        <f>MONTH(Manufacturing[[#This Row],[Production Date]])</f>
        <v>7</v>
      </c>
      <c r="N357">
        <f>YEAR(Manufacturing[[#This Row],[Production Date]])</f>
        <v>2025</v>
      </c>
      <c r="O357" t="str">
        <f t="shared" si="5"/>
        <v>20-29</v>
      </c>
    </row>
    <row r="358" spans="1:15">
      <c r="A358" t="s">
        <v>387</v>
      </c>
      <c r="B358" t="s">
        <v>21</v>
      </c>
      <c r="C358" t="s">
        <v>17</v>
      </c>
      <c r="D358" t="s">
        <v>18</v>
      </c>
      <c r="E358" s="1">
        <v>45942</v>
      </c>
      <c r="F358" s="3">
        <v>2955</v>
      </c>
      <c r="G358" s="3">
        <v>13</v>
      </c>
      <c r="H358">
        <v>0.98</v>
      </c>
      <c r="I358" s="2">
        <v>12994.44</v>
      </c>
      <c r="J358" s="2">
        <v>17772.740000000002</v>
      </c>
      <c r="K358">
        <v>94.87</v>
      </c>
      <c r="L358" t="s">
        <v>24</v>
      </c>
      <c r="M358">
        <f>MONTH(Manufacturing[[#This Row],[Production Date]])</f>
        <v>10</v>
      </c>
      <c r="N358">
        <f>YEAR(Manufacturing[[#This Row],[Production Date]])</f>
        <v>2025</v>
      </c>
      <c r="O358" t="str">
        <f t="shared" si="5"/>
        <v>10-19</v>
      </c>
    </row>
    <row r="359" spans="1:15">
      <c r="A359" t="s">
        <v>388</v>
      </c>
      <c r="B359" t="s">
        <v>16</v>
      </c>
      <c r="C359" t="s">
        <v>17</v>
      </c>
      <c r="D359" t="s">
        <v>18</v>
      </c>
      <c r="E359" s="1">
        <v>45827</v>
      </c>
      <c r="F359" s="3">
        <v>4079</v>
      </c>
      <c r="G359" s="3">
        <v>18</v>
      </c>
      <c r="H359">
        <v>0.8</v>
      </c>
      <c r="I359" s="2">
        <v>32201.200000000001</v>
      </c>
      <c r="J359" s="2">
        <v>45805.06</v>
      </c>
      <c r="K359">
        <v>87.17</v>
      </c>
      <c r="L359" t="s">
        <v>24</v>
      </c>
      <c r="M359">
        <f>MONTH(Manufacturing[[#This Row],[Production Date]])</f>
        <v>6</v>
      </c>
      <c r="N359">
        <f>YEAR(Manufacturing[[#This Row],[Production Date]])</f>
        <v>2025</v>
      </c>
      <c r="O359" t="str">
        <f t="shared" si="5"/>
        <v>10-19</v>
      </c>
    </row>
    <row r="360" spans="1:15">
      <c r="A360" t="s">
        <v>389</v>
      </c>
      <c r="B360" t="s">
        <v>31</v>
      </c>
      <c r="C360" t="s">
        <v>22</v>
      </c>
      <c r="D360" t="s">
        <v>23</v>
      </c>
      <c r="E360" s="1">
        <v>45697</v>
      </c>
      <c r="F360" s="3">
        <v>2560</v>
      </c>
      <c r="G360" s="3">
        <v>20</v>
      </c>
      <c r="H360">
        <v>6.68</v>
      </c>
      <c r="I360" s="2">
        <v>27831.13</v>
      </c>
      <c r="J360" s="2">
        <v>33576.46</v>
      </c>
      <c r="K360">
        <v>82.04</v>
      </c>
      <c r="L360" t="s">
        <v>37</v>
      </c>
      <c r="M360">
        <f>MONTH(Manufacturing[[#This Row],[Production Date]])</f>
        <v>2</v>
      </c>
      <c r="N360">
        <f>YEAR(Manufacturing[[#This Row],[Production Date]])</f>
        <v>2025</v>
      </c>
      <c r="O360" t="str">
        <f t="shared" si="5"/>
        <v>20-29</v>
      </c>
    </row>
    <row r="361" spans="1:15">
      <c r="A361" t="s">
        <v>390</v>
      </c>
      <c r="B361" t="s">
        <v>31</v>
      </c>
      <c r="C361" t="s">
        <v>22</v>
      </c>
      <c r="D361" t="s">
        <v>27</v>
      </c>
      <c r="E361" s="1">
        <v>45817</v>
      </c>
      <c r="F361" s="3">
        <v>432</v>
      </c>
      <c r="G361" s="3">
        <v>3</v>
      </c>
      <c r="H361">
        <v>3.35</v>
      </c>
      <c r="I361" s="2">
        <v>44516.38</v>
      </c>
      <c r="J361" s="2">
        <v>62597.72</v>
      </c>
      <c r="K361">
        <v>93.26</v>
      </c>
      <c r="L361" t="s">
        <v>19</v>
      </c>
      <c r="M361">
        <f>MONTH(Manufacturing[[#This Row],[Production Date]])</f>
        <v>6</v>
      </c>
      <c r="N361">
        <f>YEAR(Manufacturing[[#This Row],[Production Date]])</f>
        <v>2025</v>
      </c>
      <c r="O361" t="str">
        <f t="shared" si="5"/>
        <v>0-9</v>
      </c>
    </row>
    <row r="362" spans="1:15">
      <c r="A362" t="s">
        <v>391</v>
      </c>
      <c r="B362" t="s">
        <v>16</v>
      </c>
      <c r="C362" t="s">
        <v>17</v>
      </c>
      <c r="D362" t="s">
        <v>18</v>
      </c>
      <c r="E362" s="1">
        <v>45625</v>
      </c>
      <c r="F362" s="3">
        <v>2717</v>
      </c>
      <c r="G362" s="3">
        <v>4</v>
      </c>
      <c r="H362">
        <v>5.37</v>
      </c>
      <c r="I362" s="2">
        <v>6907.21</v>
      </c>
      <c r="J362" s="2">
        <v>7946.92</v>
      </c>
      <c r="K362">
        <v>71.89</v>
      </c>
      <c r="L362" t="s">
        <v>33</v>
      </c>
      <c r="M362">
        <f>MONTH(Manufacturing[[#This Row],[Production Date]])</f>
        <v>11</v>
      </c>
      <c r="N362">
        <f>YEAR(Manufacturing[[#This Row],[Production Date]])</f>
        <v>2024</v>
      </c>
      <c r="O362" t="str">
        <f t="shared" si="5"/>
        <v>0-9</v>
      </c>
    </row>
    <row r="363" spans="1:15">
      <c r="A363" t="s">
        <v>392</v>
      </c>
      <c r="B363" t="s">
        <v>36</v>
      </c>
      <c r="C363" t="s">
        <v>32</v>
      </c>
      <c r="D363" t="s">
        <v>23</v>
      </c>
      <c r="E363" s="1">
        <v>45793</v>
      </c>
      <c r="F363" s="3">
        <v>431</v>
      </c>
      <c r="G363" s="3">
        <v>29</v>
      </c>
      <c r="H363">
        <v>7.85</v>
      </c>
      <c r="I363" s="2">
        <v>48313.29</v>
      </c>
      <c r="J363" s="2">
        <v>54328.54</v>
      </c>
      <c r="K363">
        <v>89.1</v>
      </c>
      <c r="L363" t="s">
        <v>24</v>
      </c>
      <c r="M363">
        <f>MONTH(Manufacturing[[#This Row],[Production Date]])</f>
        <v>5</v>
      </c>
      <c r="N363">
        <f>YEAR(Manufacturing[[#This Row],[Production Date]])</f>
        <v>2025</v>
      </c>
      <c r="O363" t="str">
        <f t="shared" si="5"/>
        <v>20-29</v>
      </c>
    </row>
    <row r="364" spans="1:15">
      <c r="A364" t="s">
        <v>393</v>
      </c>
      <c r="B364" t="s">
        <v>16</v>
      </c>
      <c r="C364" t="s">
        <v>22</v>
      </c>
      <c r="D364" t="s">
        <v>23</v>
      </c>
      <c r="E364" s="1">
        <v>45655</v>
      </c>
      <c r="F364" s="3">
        <v>1470</v>
      </c>
      <c r="G364" s="3">
        <v>19</v>
      </c>
      <c r="H364">
        <v>2.62</v>
      </c>
      <c r="I364" s="2">
        <v>27900</v>
      </c>
      <c r="J364" s="2">
        <v>32404.13</v>
      </c>
      <c r="K364">
        <v>96.41</v>
      </c>
      <c r="L364" t="s">
        <v>33</v>
      </c>
      <c r="M364">
        <f>MONTH(Manufacturing[[#This Row],[Production Date]])</f>
        <v>12</v>
      </c>
      <c r="N364">
        <f>YEAR(Manufacturing[[#This Row],[Production Date]])</f>
        <v>2024</v>
      </c>
      <c r="O364" t="str">
        <f t="shared" si="5"/>
        <v>10-19</v>
      </c>
    </row>
    <row r="365" spans="1:15">
      <c r="A365" t="s">
        <v>394</v>
      </c>
      <c r="B365" t="s">
        <v>36</v>
      </c>
      <c r="C365" t="s">
        <v>17</v>
      </c>
      <c r="D365" t="s">
        <v>18</v>
      </c>
      <c r="E365" s="1">
        <v>45773</v>
      </c>
      <c r="F365" s="3">
        <v>2810</v>
      </c>
      <c r="G365" s="3">
        <v>37</v>
      </c>
      <c r="H365">
        <v>6.07</v>
      </c>
      <c r="I365" s="2">
        <v>2912.95</v>
      </c>
      <c r="J365" s="2">
        <v>4169.9799999999996</v>
      </c>
      <c r="K365">
        <v>83.21</v>
      </c>
      <c r="L365" t="s">
        <v>37</v>
      </c>
      <c r="M365">
        <f>MONTH(Manufacturing[[#This Row],[Production Date]])</f>
        <v>4</v>
      </c>
      <c r="N365">
        <f>YEAR(Manufacturing[[#This Row],[Production Date]])</f>
        <v>2025</v>
      </c>
      <c r="O365" t="str">
        <f t="shared" si="5"/>
        <v>30-39</v>
      </c>
    </row>
    <row r="366" spans="1:15">
      <c r="A366" t="s">
        <v>395</v>
      </c>
      <c r="B366" t="s">
        <v>21</v>
      </c>
      <c r="C366" t="s">
        <v>17</v>
      </c>
      <c r="D366" t="s">
        <v>23</v>
      </c>
      <c r="E366" s="1">
        <v>45772</v>
      </c>
      <c r="F366" s="3">
        <v>3692</v>
      </c>
      <c r="G366" s="3">
        <v>48</v>
      </c>
      <c r="H366">
        <v>3.65</v>
      </c>
      <c r="I366" s="2">
        <v>3607.93</v>
      </c>
      <c r="J366" s="2">
        <v>5035.12</v>
      </c>
      <c r="K366">
        <v>79.17</v>
      </c>
      <c r="L366" t="s">
        <v>33</v>
      </c>
      <c r="M366">
        <f>MONTH(Manufacturing[[#This Row],[Production Date]])</f>
        <v>4</v>
      </c>
      <c r="N366">
        <f>YEAR(Manufacturing[[#This Row],[Production Date]])</f>
        <v>2025</v>
      </c>
      <c r="O366" t="str">
        <f t="shared" si="5"/>
        <v>40-49</v>
      </c>
    </row>
    <row r="367" spans="1:15">
      <c r="A367" t="s">
        <v>396</v>
      </c>
      <c r="B367" t="s">
        <v>21</v>
      </c>
      <c r="C367" t="s">
        <v>17</v>
      </c>
      <c r="D367" t="s">
        <v>23</v>
      </c>
      <c r="E367" s="1">
        <v>45648</v>
      </c>
      <c r="F367" s="3">
        <v>3410</v>
      </c>
      <c r="G367" s="3">
        <v>42</v>
      </c>
      <c r="H367">
        <v>0.45</v>
      </c>
      <c r="I367" s="2">
        <v>47204.05</v>
      </c>
      <c r="J367" s="2">
        <v>66957.81</v>
      </c>
      <c r="K367">
        <v>77.33</v>
      </c>
      <c r="L367" t="s">
        <v>19</v>
      </c>
      <c r="M367">
        <f>MONTH(Manufacturing[[#This Row],[Production Date]])</f>
        <v>12</v>
      </c>
      <c r="N367">
        <f>YEAR(Manufacturing[[#This Row],[Production Date]])</f>
        <v>2024</v>
      </c>
      <c r="O367" t="str">
        <f t="shared" si="5"/>
        <v>40-49</v>
      </c>
    </row>
    <row r="368" spans="1:15">
      <c r="A368" t="s">
        <v>397</v>
      </c>
      <c r="B368" t="s">
        <v>26</v>
      </c>
      <c r="C368" t="s">
        <v>17</v>
      </c>
      <c r="D368" t="s">
        <v>23</v>
      </c>
      <c r="E368" s="1">
        <v>45707</v>
      </c>
      <c r="F368" s="3">
        <v>2435</v>
      </c>
      <c r="G368" s="3">
        <v>10</v>
      </c>
      <c r="H368">
        <v>4.72</v>
      </c>
      <c r="I368" s="2">
        <v>20943.599999999999</v>
      </c>
      <c r="J368" s="2">
        <v>29448.51</v>
      </c>
      <c r="K368">
        <v>89.09</v>
      </c>
      <c r="L368" t="s">
        <v>37</v>
      </c>
      <c r="M368">
        <f>MONTH(Manufacturing[[#This Row],[Production Date]])</f>
        <v>2</v>
      </c>
      <c r="N368">
        <f>YEAR(Manufacturing[[#This Row],[Production Date]])</f>
        <v>2025</v>
      </c>
      <c r="O368" t="str">
        <f t="shared" si="5"/>
        <v>10-19</v>
      </c>
    </row>
    <row r="369" spans="1:15">
      <c r="A369" t="s">
        <v>398</v>
      </c>
      <c r="B369" t="s">
        <v>36</v>
      </c>
      <c r="C369" t="s">
        <v>17</v>
      </c>
      <c r="D369" t="s">
        <v>18</v>
      </c>
      <c r="E369" s="1">
        <v>45874</v>
      </c>
      <c r="F369" s="3">
        <v>3038</v>
      </c>
      <c r="G369" s="3">
        <v>4</v>
      </c>
      <c r="H369">
        <v>1.9</v>
      </c>
      <c r="I369" s="2">
        <v>30539.8</v>
      </c>
      <c r="J369" s="2">
        <v>44949.89</v>
      </c>
      <c r="K369">
        <v>95.49</v>
      </c>
      <c r="L369" t="s">
        <v>24</v>
      </c>
      <c r="M369">
        <f>MONTH(Manufacturing[[#This Row],[Production Date]])</f>
        <v>8</v>
      </c>
      <c r="N369">
        <f>YEAR(Manufacturing[[#This Row],[Production Date]])</f>
        <v>2025</v>
      </c>
      <c r="O369" t="str">
        <f t="shared" si="5"/>
        <v>0-9</v>
      </c>
    </row>
    <row r="370" spans="1:15">
      <c r="A370" t="s">
        <v>399</v>
      </c>
      <c r="B370" t="s">
        <v>31</v>
      </c>
      <c r="C370" t="s">
        <v>22</v>
      </c>
      <c r="D370" t="s">
        <v>23</v>
      </c>
      <c r="E370" s="1">
        <v>45636</v>
      </c>
      <c r="F370" s="3">
        <v>1987</v>
      </c>
      <c r="G370" s="3">
        <v>9</v>
      </c>
      <c r="H370">
        <v>1</v>
      </c>
      <c r="I370" s="2">
        <v>47297.63</v>
      </c>
      <c r="J370" s="2">
        <v>60542.44</v>
      </c>
      <c r="K370">
        <v>79.819999999999993</v>
      </c>
      <c r="L370" t="s">
        <v>24</v>
      </c>
      <c r="M370">
        <f>MONTH(Manufacturing[[#This Row],[Production Date]])</f>
        <v>12</v>
      </c>
      <c r="N370">
        <f>YEAR(Manufacturing[[#This Row],[Production Date]])</f>
        <v>2024</v>
      </c>
      <c r="O370" t="str">
        <f t="shared" si="5"/>
        <v>0-9</v>
      </c>
    </row>
    <row r="371" spans="1:15">
      <c r="A371" t="s">
        <v>400</v>
      </c>
      <c r="B371" t="s">
        <v>36</v>
      </c>
      <c r="C371" t="s">
        <v>32</v>
      </c>
      <c r="D371" t="s">
        <v>23</v>
      </c>
      <c r="E371" s="1">
        <v>45688</v>
      </c>
      <c r="F371" s="3">
        <v>4710</v>
      </c>
      <c r="G371" s="3">
        <v>30</v>
      </c>
      <c r="H371">
        <v>9.6199999999999992</v>
      </c>
      <c r="I371" s="2">
        <v>19012.419999999998</v>
      </c>
      <c r="J371" s="2">
        <v>27343.759999999998</v>
      </c>
      <c r="K371">
        <v>87.11</v>
      </c>
      <c r="L371" t="s">
        <v>19</v>
      </c>
      <c r="M371">
        <f>MONTH(Manufacturing[[#This Row],[Production Date]])</f>
        <v>1</v>
      </c>
      <c r="N371">
        <f>YEAR(Manufacturing[[#This Row],[Production Date]])</f>
        <v>2025</v>
      </c>
      <c r="O371" t="str">
        <f t="shared" si="5"/>
        <v>30-39</v>
      </c>
    </row>
    <row r="372" spans="1:15">
      <c r="A372" t="s">
        <v>401</v>
      </c>
      <c r="B372" t="s">
        <v>21</v>
      </c>
      <c r="C372" t="s">
        <v>22</v>
      </c>
      <c r="D372" t="s">
        <v>18</v>
      </c>
      <c r="E372" s="1">
        <v>45820</v>
      </c>
      <c r="F372" s="3">
        <v>3256</v>
      </c>
      <c r="G372" s="3">
        <v>19</v>
      </c>
      <c r="H372">
        <v>0.76</v>
      </c>
      <c r="I372" s="2">
        <v>29850.5</v>
      </c>
      <c r="J372" s="2">
        <v>38393.230000000003</v>
      </c>
      <c r="K372">
        <v>79.81</v>
      </c>
      <c r="L372" t="s">
        <v>29</v>
      </c>
      <c r="M372">
        <f>MONTH(Manufacturing[[#This Row],[Production Date]])</f>
        <v>6</v>
      </c>
      <c r="N372">
        <f>YEAR(Manufacturing[[#This Row],[Production Date]])</f>
        <v>2025</v>
      </c>
      <c r="O372" t="str">
        <f t="shared" si="5"/>
        <v>10-19</v>
      </c>
    </row>
    <row r="373" spans="1:15">
      <c r="A373" t="s">
        <v>402</v>
      </c>
      <c r="B373" t="s">
        <v>36</v>
      </c>
      <c r="C373" t="s">
        <v>22</v>
      </c>
      <c r="D373" t="s">
        <v>23</v>
      </c>
      <c r="E373" s="1">
        <v>45855</v>
      </c>
      <c r="F373" s="3">
        <v>289</v>
      </c>
      <c r="G373" s="3">
        <v>29</v>
      </c>
      <c r="H373">
        <v>6.3</v>
      </c>
      <c r="I373" s="2">
        <v>26326.3</v>
      </c>
      <c r="J373" s="2">
        <v>30213.29</v>
      </c>
      <c r="K373">
        <v>84.41</v>
      </c>
      <c r="L373" t="s">
        <v>37</v>
      </c>
      <c r="M373">
        <f>MONTH(Manufacturing[[#This Row],[Production Date]])</f>
        <v>7</v>
      </c>
      <c r="N373">
        <f>YEAR(Manufacturing[[#This Row],[Production Date]])</f>
        <v>2025</v>
      </c>
      <c r="O373" t="str">
        <f t="shared" si="5"/>
        <v>20-29</v>
      </c>
    </row>
    <row r="374" spans="1:15">
      <c r="A374" t="s">
        <v>403</v>
      </c>
      <c r="B374" t="s">
        <v>26</v>
      </c>
      <c r="C374" t="s">
        <v>32</v>
      </c>
      <c r="D374" t="s">
        <v>23</v>
      </c>
      <c r="E374" s="1">
        <v>45935</v>
      </c>
      <c r="F374" s="3">
        <v>1119</v>
      </c>
      <c r="G374" s="3">
        <v>48</v>
      </c>
      <c r="H374">
        <v>7.32</v>
      </c>
      <c r="I374" s="2">
        <v>47446.95</v>
      </c>
      <c r="J374" s="2">
        <v>55266.86</v>
      </c>
      <c r="K374">
        <v>74.400000000000006</v>
      </c>
      <c r="L374" t="s">
        <v>37</v>
      </c>
      <c r="M374">
        <f>MONTH(Manufacturing[[#This Row],[Production Date]])</f>
        <v>10</v>
      </c>
      <c r="N374">
        <f>YEAR(Manufacturing[[#This Row],[Production Date]])</f>
        <v>2025</v>
      </c>
      <c r="O374" t="str">
        <f t="shared" si="5"/>
        <v>40-49</v>
      </c>
    </row>
    <row r="375" spans="1:15">
      <c r="A375" t="s">
        <v>404</v>
      </c>
      <c r="B375" t="s">
        <v>26</v>
      </c>
      <c r="C375" t="s">
        <v>32</v>
      </c>
      <c r="D375" t="s">
        <v>27</v>
      </c>
      <c r="E375" s="1">
        <v>45715</v>
      </c>
      <c r="F375" s="3">
        <v>174</v>
      </c>
      <c r="G375" s="3">
        <v>37</v>
      </c>
      <c r="H375">
        <v>4.4000000000000004</v>
      </c>
      <c r="I375" s="2">
        <v>36419.65</v>
      </c>
      <c r="J375" s="2">
        <v>49493.01</v>
      </c>
      <c r="K375">
        <v>92.92</v>
      </c>
      <c r="L375" t="s">
        <v>29</v>
      </c>
      <c r="M375">
        <f>MONTH(Manufacturing[[#This Row],[Production Date]])</f>
        <v>2</v>
      </c>
      <c r="N375">
        <f>YEAR(Manufacturing[[#This Row],[Production Date]])</f>
        <v>2025</v>
      </c>
      <c r="O375" t="str">
        <f t="shared" si="5"/>
        <v>30-39</v>
      </c>
    </row>
    <row r="376" spans="1:15">
      <c r="A376" t="s">
        <v>405</v>
      </c>
      <c r="B376" t="s">
        <v>36</v>
      </c>
      <c r="C376" t="s">
        <v>17</v>
      </c>
      <c r="D376" t="s">
        <v>18</v>
      </c>
      <c r="E376" s="1">
        <v>45720</v>
      </c>
      <c r="F376" s="3">
        <v>2673</v>
      </c>
      <c r="G376" s="3">
        <v>43</v>
      </c>
      <c r="H376">
        <v>6.02</v>
      </c>
      <c r="I376" s="2">
        <v>30430.21</v>
      </c>
      <c r="J376" s="2">
        <v>35881.480000000003</v>
      </c>
      <c r="K376">
        <v>83.53</v>
      </c>
      <c r="L376" t="s">
        <v>19</v>
      </c>
      <c r="M376">
        <f>MONTH(Manufacturing[[#This Row],[Production Date]])</f>
        <v>3</v>
      </c>
      <c r="N376">
        <f>YEAR(Manufacturing[[#This Row],[Production Date]])</f>
        <v>2025</v>
      </c>
      <c r="O376" t="str">
        <f t="shared" si="5"/>
        <v>40-49</v>
      </c>
    </row>
    <row r="377" spans="1:15">
      <c r="A377" t="s">
        <v>406</v>
      </c>
      <c r="B377" t="s">
        <v>31</v>
      </c>
      <c r="C377" t="s">
        <v>17</v>
      </c>
      <c r="D377" t="s">
        <v>18</v>
      </c>
      <c r="E377" s="1">
        <v>45772</v>
      </c>
      <c r="F377" s="3">
        <v>1784</v>
      </c>
      <c r="G377" s="3">
        <v>34</v>
      </c>
      <c r="H377">
        <v>4.29</v>
      </c>
      <c r="I377" s="2">
        <v>16402.16</v>
      </c>
      <c r="J377" s="2">
        <v>18223.04</v>
      </c>
      <c r="K377">
        <v>92.68</v>
      </c>
      <c r="L377" t="s">
        <v>37</v>
      </c>
      <c r="M377">
        <f>MONTH(Manufacturing[[#This Row],[Production Date]])</f>
        <v>4</v>
      </c>
      <c r="N377">
        <f>YEAR(Manufacturing[[#This Row],[Production Date]])</f>
        <v>2025</v>
      </c>
      <c r="O377" t="str">
        <f t="shared" si="5"/>
        <v>30-39</v>
      </c>
    </row>
    <row r="378" spans="1:15">
      <c r="A378" t="s">
        <v>407</v>
      </c>
      <c r="B378" t="s">
        <v>31</v>
      </c>
      <c r="C378" t="s">
        <v>32</v>
      </c>
      <c r="D378" t="s">
        <v>23</v>
      </c>
      <c r="E378" s="1">
        <v>45922</v>
      </c>
      <c r="F378" s="3">
        <v>4401</v>
      </c>
      <c r="G378" s="3">
        <v>47</v>
      </c>
      <c r="H378">
        <v>5.72</v>
      </c>
      <c r="I378" s="2">
        <v>44282.31</v>
      </c>
      <c r="J378" s="2">
        <v>48958.96</v>
      </c>
      <c r="K378">
        <v>95.64</v>
      </c>
      <c r="L378" t="s">
        <v>37</v>
      </c>
      <c r="M378">
        <f>MONTH(Manufacturing[[#This Row],[Production Date]])</f>
        <v>9</v>
      </c>
      <c r="N378">
        <f>YEAR(Manufacturing[[#This Row],[Production Date]])</f>
        <v>2025</v>
      </c>
      <c r="O378" t="str">
        <f t="shared" si="5"/>
        <v>40-49</v>
      </c>
    </row>
    <row r="379" spans="1:15">
      <c r="A379" t="s">
        <v>408</v>
      </c>
      <c r="B379" t="s">
        <v>36</v>
      </c>
      <c r="C379" t="s">
        <v>17</v>
      </c>
      <c r="D379" t="s">
        <v>27</v>
      </c>
      <c r="E379" s="1">
        <v>45795</v>
      </c>
      <c r="F379" s="3">
        <v>2122</v>
      </c>
      <c r="G379" s="3">
        <v>41</v>
      </c>
      <c r="H379">
        <v>2.75</v>
      </c>
      <c r="I379" s="2">
        <v>22823.16</v>
      </c>
      <c r="J379" s="2">
        <v>25297.98</v>
      </c>
      <c r="K379">
        <v>98.07</v>
      </c>
      <c r="L379" t="s">
        <v>19</v>
      </c>
      <c r="M379">
        <f>MONTH(Manufacturing[[#This Row],[Production Date]])</f>
        <v>5</v>
      </c>
      <c r="N379">
        <f>YEAR(Manufacturing[[#This Row],[Production Date]])</f>
        <v>2025</v>
      </c>
      <c r="O379" t="str">
        <f t="shared" si="5"/>
        <v>40-49</v>
      </c>
    </row>
    <row r="380" spans="1:15">
      <c r="A380" t="s">
        <v>409</v>
      </c>
      <c r="B380" t="s">
        <v>16</v>
      </c>
      <c r="C380" t="s">
        <v>22</v>
      </c>
      <c r="D380" t="s">
        <v>18</v>
      </c>
      <c r="E380" s="1">
        <v>45715</v>
      </c>
      <c r="F380" s="3">
        <v>2483</v>
      </c>
      <c r="G380" s="3">
        <v>26</v>
      </c>
      <c r="H380">
        <v>1.67</v>
      </c>
      <c r="I380" s="2">
        <v>44831.28</v>
      </c>
      <c r="J380" s="2">
        <v>52330.94</v>
      </c>
      <c r="K380">
        <v>97.55</v>
      </c>
      <c r="L380" t="s">
        <v>33</v>
      </c>
      <c r="M380">
        <f>MONTH(Manufacturing[[#This Row],[Production Date]])</f>
        <v>2</v>
      </c>
      <c r="N380">
        <f>YEAR(Manufacturing[[#This Row],[Production Date]])</f>
        <v>2025</v>
      </c>
      <c r="O380" t="str">
        <f t="shared" si="5"/>
        <v>20-29</v>
      </c>
    </row>
    <row r="381" spans="1:15">
      <c r="A381" t="s">
        <v>410</v>
      </c>
      <c r="B381" t="s">
        <v>36</v>
      </c>
      <c r="C381" t="s">
        <v>32</v>
      </c>
      <c r="D381" t="s">
        <v>18</v>
      </c>
      <c r="E381" s="1">
        <v>45953</v>
      </c>
      <c r="F381" s="3">
        <v>344</v>
      </c>
      <c r="G381" s="3">
        <v>40</v>
      </c>
      <c r="H381">
        <v>4.01</v>
      </c>
      <c r="I381" s="2">
        <v>47731.24</v>
      </c>
      <c r="J381" s="2">
        <v>63056.18</v>
      </c>
      <c r="K381">
        <v>78.83</v>
      </c>
      <c r="L381" t="s">
        <v>33</v>
      </c>
      <c r="M381">
        <f>MONTH(Manufacturing[[#This Row],[Production Date]])</f>
        <v>10</v>
      </c>
      <c r="N381">
        <f>YEAR(Manufacturing[[#This Row],[Production Date]])</f>
        <v>2025</v>
      </c>
      <c r="O381" t="str">
        <f t="shared" si="5"/>
        <v>40-49</v>
      </c>
    </row>
    <row r="382" spans="1:15">
      <c r="A382" t="s">
        <v>411</v>
      </c>
      <c r="B382" t="s">
        <v>36</v>
      </c>
      <c r="C382" t="s">
        <v>17</v>
      </c>
      <c r="D382" t="s">
        <v>18</v>
      </c>
      <c r="E382" s="1">
        <v>45731</v>
      </c>
      <c r="F382" s="3">
        <v>3362</v>
      </c>
      <c r="G382" s="3">
        <v>21</v>
      </c>
      <c r="H382">
        <v>9.6999999999999993</v>
      </c>
      <c r="I382" s="2">
        <v>12279.65</v>
      </c>
      <c r="J382" s="2">
        <v>14009.92</v>
      </c>
      <c r="K382">
        <v>98.41</v>
      </c>
      <c r="L382" t="s">
        <v>29</v>
      </c>
      <c r="M382">
        <f>MONTH(Manufacturing[[#This Row],[Production Date]])</f>
        <v>3</v>
      </c>
      <c r="N382">
        <f>YEAR(Manufacturing[[#This Row],[Production Date]])</f>
        <v>2025</v>
      </c>
      <c r="O382" t="str">
        <f t="shared" si="5"/>
        <v>20-29</v>
      </c>
    </row>
    <row r="383" spans="1:15">
      <c r="A383" t="s">
        <v>412</v>
      </c>
      <c r="B383" t="s">
        <v>36</v>
      </c>
      <c r="C383" t="s">
        <v>32</v>
      </c>
      <c r="D383" t="s">
        <v>27</v>
      </c>
      <c r="E383" s="1">
        <v>45862</v>
      </c>
      <c r="F383" s="3">
        <v>1120</v>
      </c>
      <c r="G383" s="3">
        <v>40</v>
      </c>
      <c r="H383">
        <v>0.41</v>
      </c>
      <c r="I383" s="2">
        <v>33043.51</v>
      </c>
      <c r="J383" s="2">
        <v>37584.400000000001</v>
      </c>
      <c r="K383">
        <v>88.45</v>
      </c>
      <c r="L383" t="s">
        <v>19</v>
      </c>
      <c r="M383">
        <f>MONTH(Manufacturing[[#This Row],[Production Date]])</f>
        <v>7</v>
      </c>
      <c r="N383">
        <f>YEAR(Manufacturing[[#This Row],[Production Date]])</f>
        <v>2025</v>
      </c>
      <c r="O383" t="str">
        <f t="shared" si="5"/>
        <v>40-49</v>
      </c>
    </row>
    <row r="384" spans="1:15">
      <c r="A384" t="s">
        <v>413</v>
      </c>
      <c r="B384" t="s">
        <v>16</v>
      </c>
      <c r="C384" t="s">
        <v>32</v>
      </c>
      <c r="D384" t="s">
        <v>18</v>
      </c>
      <c r="E384" s="1">
        <v>45892</v>
      </c>
      <c r="F384" s="3">
        <v>4182</v>
      </c>
      <c r="G384" s="3">
        <v>43</v>
      </c>
      <c r="H384">
        <v>0.4</v>
      </c>
      <c r="I384" s="2">
        <v>24884.94</v>
      </c>
      <c r="J384" s="2">
        <v>30922.26</v>
      </c>
      <c r="K384">
        <v>74.67</v>
      </c>
      <c r="L384" t="s">
        <v>24</v>
      </c>
      <c r="M384">
        <f>MONTH(Manufacturing[[#This Row],[Production Date]])</f>
        <v>8</v>
      </c>
      <c r="N384">
        <f>YEAR(Manufacturing[[#This Row],[Production Date]])</f>
        <v>2025</v>
      </c>
      <c r="O384" t="str">
        <f t="shared" si="5"/>
        <v>40-49</v>
      </c>
    </row>
    <row r="385" spans="1:15">
      <c r="A385" t="s">
        <v>414</v>
      </c>
      <c r="B385" t="s">
        <v>31</v>
      </c>
      <c r="C385" t="s">
        <v>17</v>
      </c>
      <c r="D385" t="s">
        <v>27</v>
      </c>
      <c r="E385" s="1">
        <v>45635</v>
      </c>
      <c r="F385" s="3">
        <v>2719</v>
      </c>
      <c r="G385" s="3">
        <v>15</v>
      </c>
      <c r="H385">
        <v>1.67</v>
      </c>
      <c r="I385" s="2">
        <v>25308.25</v>
      </c>
      <c r="J385" s="2">
        <v>30140.57</v>
      </c>
      <c r="K385">
        <v>96.15</v>
      </c>
      <c r="L385" t="s">
        <v>29</v>
      </c>
      <c r="M385">
        <f>MONTH(Manufacturing[[#This Row],[Production Date]])</f>
        <v>12</v>
      </c>
      <c r="N385">
        <f>YEAR(Manufacturing[[#This Row],[Production Date]])</f>
        <v>2024</v>
      </c>
      <c r="O385" t="str">
        <f t="shared" si="5"/>
        <v>10-19</v>
      </c>
    </row>
    <row r="386" spans="1:15">
      <c r="A386" t="s">
        <v>415</v>
      </c>
      <c r="B386" t="s">
        <v>36</v>
      </c>
      <c r="C386" t="s">
        <v>22</v>
      </c>
      <c r="D386" t="s">
        <v>23</v>
      </c>
      <c r="E386" s="1">
        <v>45668</v>
      </c>
      <c r="F386" s="3">
        <v>4797</v>
      </c>
      <c r="G386" s="3">
        <v>5</v>
      </c>
      <c r="H386">
        <v>6.17</v>
      </c>
      <c r="I386" s="2">
        <v>11319.99</v>
      </c>
      <c r="J386" s="2">
        <v>16441.349999999999</v>
      </c>
      <c r="K386">
        <v>97.97</v>
      </c>
      <c r="L386" t="s">
        <v>19</v>
      </c>
      <c r="M386">
        <f>MONTH(Manufacturing[[#This Row],[Production Date]])</f>
        <v>1</v>
      </c>
      <c r="N386">
        <f>YEAR(Manufacturing[[#This Row],[Production Date]])</f>
        <v>2025</v>
      </c>
      <c r="O386" t="str">
        <f t="shared" si="5"/>
        <v>0-9</v>
      </c>
    </row>
    <row r="387" spans="1:15">
      <c r="A387" t="s">
        <v>416</v>
      </c>
      <c r="B387" t="s">
        <v>26</v>
      </c>
      <c r="C387" t="s">
        <v>17</v>
      </c>
      <c r="D387" t="s">
        <v>18</v>
      </c>
      <c r="E387" s="1">
        <v>45776</v>
      </c>
      <c r="F387" s="3">
        <v>3175</v>
      </c>
      <c r="G387" s="3">
        <v>7</v>
      </c>
      <c r="H387">
        <v>7.01</v>
      </c>
      <c r="I387" s="2">
        <v>11425.63</v>
      </c>
      <c r="J387" s="2">
        <v>14274.67</v>
      </c>
      <c r="K387">
        <v>84.69</v>
      </c>
      <c r="L387" t="s">
        <v>29</v>
      </c>
      <c r="M387">
        <f>MONTH(Manufacturing[[#This Row],[Production Date]])</f>
        <v>4</v>
      </c>
      <c r="N387">
        <f>YEAR(Manufacturing[[#This Row],[Production Date]])</f>
        <v>2025</v>
      </c>
      <c r="O387" t="str">
        <f t="shared" ref="O387:O450" si="6">IF(G387&lt;=9,"0-9",IF(G387&lt;=19,"10-19",IF(G387&lt;=29,"20-29",IF(G387&lt;=39,"30-39",IF(G387&lt;=49,"40-49","50+")))))</f>
        <v>0-9</v>
      </c>
    </row>
    <row r="388" spans="1:15">
      <c r="A388" t="s">
        <v>417</v>
      </c>
      <c r="B388" t="s">
        <v>31</v>
      </c>
      <c r="C388" t="s">
        <v>17</v>
      </c>
      <c r="D388" t="s">
        <v>23</v>
      </c>
      <c r="E388" s="1">
        <v>45929</v>
      </c>
      <c r="F388" s="3">
        <v>502</v>
      </c>
      <c r="G388" s="3">
        <v>8</v>
      </c>
      <c r="H388">
        <v>1.36</v>
      </c>
      <c r="I388" s="2">
        <v>31680.2</v>
      </c>
      <c r="J388" s="2">
        <v>35317.370000000003</v>
      </c>
      <c r="K388">
        <v>96.68</v>
      </c>
      <c r="L388" t="s">
        <v>33</v>
      </c>
      <c r="M388">
        <f>MONTH(Manufacturing[[#This Row],[Production Date]])</f>
        <v>9</v>
      </c>
      <c r="N388">
        <f>YEAR(Manufacturing[[#This Row],[Production Date]])</f>
        <v>2025</v>
      </c>
      <c r="O388" t="str">
        <f t="shared" si="6"/>
        <v>0-9</v>
      </c>
    </row>
    <row r="389" spans="1:15">
      <c r="A389" t="s">
        <v>418</v>
      </c>
      <c r="B389" t="s">
        <v>21</v>
      </c>
      <c r="C389" t="s">
        <v>32</v>
      </c>
      <c r="D389" t="s">
        <v>23</v>
      </c>
      <c r="E389" s="1">
        <v>45931</v>
      </c>
      <c r="F389" s="3">
        <v>1483</v>
      </c>
      <c r="G389" s="3">
        <v>5</v>
      </c>
      <c r="H389">
        <v>2.0299999999999998</v>
      </c>
      <c r="I389" s="2">
        <v>3999.8</v>
      </c>
      <c r="J389" s="2">
        <v>5824.67</v>
      </c>
      <c r="K389">
        <v>90.17</v>
      </c>
      <c r="L389" t="s">
        <v>37</v>
      </c>
      <c r="M389">
        <f>MONTH(Manufacturing[[#This Row],[Production Date]])</f>
        <v>10</v>
      </c>
      <c r="N389">
        <f>YEAR(Manufacturing[[#This Row],[Production Date]])</f>
        <v>2025</v>
      </c>
      <c r="O389" t="str">
        <f t="shared" si="6"/>
        <v>0-9</v>
      </c>
    </row>
    <row r="390" spans="1:15">
      <c r="A390" t="s">
        <v>419</v>
      </c>
      <c r="B390" t="s">
        <v>36</v>
      </c>
      <c r="C390" t="s">
        <v>22</v>
      </c>
      <c r="D390" t="s">
        <v>18</v>
      </c>
      <c r="E390" s="1">
        <v>45826</v>
      </c>
      <c r="F390" s="3">
        <v>188</v>
      </c>
      <c r="G390" s="3">
        <v>45</v>
      </c>
      <c r="H390">
        <v>0.53</v>
      </c>
      <c r="I390" s="2">
        <v>44774.78</v>
      </c>
      <c r="J390" s="2">
        <v>49762.96</v>
      </c>
      <c r="K390">
        <v>85.63</v>
      </c>
      <c r="L390" t="s">
        <v>19</v>
      </c>
      <c r="M390">
        <f>MONTH(Manufacturing[[#This Row],[Production Date]])</f>
        <v>6</v>
      </c>
      <c r="N390">
        <f>YEAR(Manufacturing[[#This Row],[Production Date]])</f>
        <v>2025</v>
      </c>
      <c r="O390" t="str">
        <f t="shared" si="6"/>
        <v>40-49</v>
      </c>
    </row>
    <row r="391" spans="1:15">
      <c r="A391" t="s">
        <v>420</v>
      </c>
      <c r="B391" t="s">
        <v>16</v>
      </c>
      <c r="C391" t="s">
        <v>32</v>
      </c>
      <c r="D391" t="s">
        <v>18</v>
      </c>
      <c r="E391" s="1">
        <v>45668</v>
      </c>
      <c r="F391" s="3">
        <v>527</v>
      </c>
      <c r="G391" s="3">
        <v>23</v>
      </c>
      <c r="H391">
        <v>7.44</v>
      </c>
      <c r="I391" s="2">
        <v>21669.49</v>
      </c>
      <c r="J391" s="2">
        <v>30603.89</v>
      </c>
      <c r="K391">
        <v>90.27</v>
      </c>
      <c r="L391" t="s">
        <v>29</v>
      </c>
      <c r="M391">
        <f>MONTH(Manufacturing[[#This Row],[Production Date]])</f>
        <v>1</v>
      </c>
      <c r="N391">
        <f>YEAR(Manufacturing[[#This Row],[Production Date]])</f>
        <v>2025</v>
      </c>
      <c r="O391" t="str">
        <f t="shared" si="6"/>
        <v>20-29</v>
      </c>
    </row>
    <row r="392" spans="1:15">
      <c r="A392" t="s">
        <v>421</v>
      </c>
      <c r="B392" t="s">
        <v>31</v>
      </c>
      <c r="C392" t="s">
        <v>22</v>
      </c>
      <c r="D392" t="s">
        <v>23</v>
      </c>
      <c r="E392" s="1">
        <v>45793</v>
      </c>
      <c r="F392" s="3">
        <v>3136</v>
      </c>
      <c r="G392" s="3">
        <v>6</v>
      </c>
      <c r="H392">
        <v>6.44</v>
      </c>
      <c r="I392" s="2">
        <v>34501.71</v>
      </c>
      <c r="J392" s="2">
        <v>38929.760000000002</v>
      </c>
      <c r="K392">
        <v>81.260000000000005</v>
      </c>
      <c r="L392" t="s">
        <v>19</v>
      </c>
      <c r="M392">
        <f>MONTH(Manufacturing[[#This Row],[Production Date]])</f>
        <v>5</v>
      </c>
      <c r="N392">
        <f>YEAR(Manufacturing[[#This Row],[Production Date]])</f>
        <v>2025</v>
      </c>
      <c r="O392" t="str">
        <f t="shared" si="6"/>
        <v>0-9</v>
      </c>
    </row>
    <row r="393" spans="1:15">
      <c r="A393" t="s">
        <v>422</v>
      </c>
      <c r="B393" t="s">
        <v>16</v>
      </c>
      <c r="C393" t="s">
        <v>17</v>
      </c>
      <c r="D393" t="s">
        <v>18</v>
      </c>
      <c r="E393" s="1">
        <v>45825</v>
      </c>
      <c r="F393" s="3">
        <v>1435</v>
      </c>
      <c r="G393" s="3">
        <v>27</v>
      </c>
      <c r="H393">
        <v>1.95</v>
      </c>
      <c r="I393" s="2">
        <v>25221.85</v>
      </c>
      <c r="J393" s="2">
        <v>37669.69</v>
      </c>
      <c r="K393">
        <v>85.48</v>
      </c>
      <c r="L393" t="s">
        <v>24</v>
      </c>
      <c r="M393">
        <f>MONTH(Manufacturing[[#This Row],[Production Date]])</f>
        <v>6</v>
      </c>
      <c r="N393">
        <f>YEAR(Manufacturing[[#This Row],[Production Date]])</f>
        <v>2025</v>
      </c>
      <c r="O393" t="str">
        <f t="shared" si="6"/>
        <v>20-29</v>
      </c>
    </row>
    <row r="394" spans="1:15">
      <c r="A394" t="s">
        <v>423</v>
      </c>
      <c r="B394" t="s">
        <v>21</v>
      </c>
      <c r="C394" t="s">
        <v>22</v>
      </c>
      <c r="D394" t="s">
        <v>18</v>
      </c>
      <c r="E394" s="1">
        <v>45794</v>
      </c>
      <c r="F394" s="3">
        <v>1166</v>
      </c>
      <c r="G394" s="3">
        <v>3</v>
      </c>
      <c r="H394">
        <v>5.17</v>
      </c>
      <c r="I394" s="2">
        <v>21045.33</v>
      </c>
      <c r="J394" s="2">
        <v>29352.91</v>
      </c>
      <c r="K394">
        <v>82.6</v>
      </c>
      <c r="L394" t="s">
        <v>24</v>
      </c>
      <c r="M394">
        <f>MONTH(Manufacturing[[#This Row],[Production Date]])</f>
        <v>5</v>
      </c>
      <c r="N394">
        <f>YEAR(Manufacturing[[#This Row],[Production Date]])</f>
        <v>2025</v>
      </c>
      <c r="O394" t="str">
        <f t="shared" si="6"/>
        <v>0-9</v>
      </c>
    </row>
    <row r="395" spans="1:15">
      <c r="A395" t="s">
        <v>424</v>
      </c>
      <c r="B395" t="s">
        <v>26</v>
      </c>
      <c r="C395" t="s">
        <v>32</v>
      </c>
      <c r="D395" t="s">
        <v>23</v>
      </c>
      <c r="E395" s="1">
        <v>45830</v>
      </c>
      <c r="F395" s="3">
        <v>2807</v>
      </c>
      <c r="G395" s="3">
        <v>3</v>
      </c>
      <c r="H395">
        <v>4.03</v>
      </c>
      <c r="I395" s="2">
        <v>36915.25</v>
      </c>
      <c r="J395" s="2">
        <v>49632.95</v>
      </c>
      <c r="K395">
        <v>94.56</v>
      </c>
      <c r="L395" t="s">
        <v>24</v>
      </c>
      <c r="M395">
        <f>MONTH(Manufacturing[[#This Row],[Production Date]])</f>
        <v>6</v>
      </c>
      <c r="N395">
        <f>YEAR(Manufacturing[[#This Row],[Production Date]])</f>
        <v>2025</v>
      </c>
      <c r="O395" t="str">
        <f t="shared" si="6"/>
        <v>0-9</v>
      </c>
    </row>
    <row r="396" spans="1:15">
      <c r="A396" t="s">
        <v>425</v>
      </c>
      <c r="B396" t="s">
        <v>16</v>
      </c>
      <c r="C396" t="s">
        <v>22</v>
      </c>
      <c r="D396" t="s">
        <v>18</v>
      </c>
      <c r="E396" s="1">
        <v>45772</v>
      </c>
      <c r="F396" s="3">
        <v>701</v>
      </c>
      <c r="G396" s="3">
        <v>45</v>
      </c>
      <c r="H396">
        <v>2.13</v>
      </c>
      <c r="I396" s="2">
        <v>43398.36</v>
      </c>
      <c r="J396" s="2">
        <v>53515.32</v>
      </c>
      <c r="K396">
        <v>86.97</v>
      </c>
      <c r="L396" t="s">
        <v>29</v>
      </c>
      <c r="M396">
        <f>MONTH(Manufacturing[[#This Row],[Production Date]])</f>
        <v>4</v>
      </c>
      <c r="N396">
        <f>YEAR(Manufacturing[[#This Row],[Production Date]])</f>
        <v>2025</v>
      </c>
      <c r="O396" t="str">
        <f t="shared" si="6"/>
        <v>40-49</v>
      </c>
    </row>
    <row r="397" spans="1:15">
      <c r="A397" t="s">
        <v>426</v>
      </c>
      <c r="B397" t="s">
        <v>26</v>
      </c>
      <c r="C397" t="s">
        <v>22</v>
      </c>
      <c r="D397" t="s">
        <v>18</v>
      </c>
      <c r="E397" s="1">
        <v>45924</v>
      </c>
      <c r="F397" s="3">
        <v>3153</v>
      </c>
      <c r="G397" s="3">
        <v>0</v>
      </c>
      <c r="H397">
        <v>8.3000000000000007</v>
      </c>
      <c r="I397" s="2">
        <v>26946.51</v>
      </c>
      <c r="J397" s="2">
        <v>38264.980000000003</v>
      </c>
      <c r="K397">
        <v>90.38</v>
      </c>
      <c r="L397" t="s">
        <v>24</v>
      </c>
      <c r="M397">
        <f>MONTH(Manufacturing[[#This Row],[Production Date]])</f>
        <v>9</v>
      </c>
      <c r="N397">
        <f>YEAR(Manufacturing[[#This Row],[Production Date]])</f>
        <v>2025</v>
      </c>
      <c r="O397" t="str">
        <f t="shared" si="6"/>
        <v>0-9</v>
      </c>
    </row>
    <row r="398" spans="1:15">
      <c r="A398" t="s">
        <v>427</v>
      </c>
      <c r="B398" t="s">
        <v>26</v>
      </c>
      <c r="C398" t="s">
        <v>22</v>
      </c>
      <c r="D398" t="s">
        <v>18</v>
      </c>
      <c r="E398" s="1">
        <v>45728</v>
      </c>
      <c r="F398" s="3">
        <v>660</v>
      </c>
      <c r="G398" s="3">
        <v>3</v>
      </c>
      <c r="H398">
        <v>8.33</v>
      </c>
      <c r="I398" s="2">
        <v>45309.03</v>
      </c>
      <c r="J398" s="2">
        <v>58716.98</v>
      </c>
      <c r="K398">
        <v>87.18</v>
      </c>
      <c r="L398" t="s">
        <v>33</v>
      </c>
      <c r="M398">
        <f>MONTH(Manufacturing[[#This Row],[Production Date]])</f>
        <v>3</v>
      </c>
      <c r="N398">
        <f>YEAR(Manufacturing[[#This Row],[Production Date]])</f>
        <v>2025</v>
      </c>
      <c r="O398" t="str">
        <f t="shared" si="6"/>
        <v>0-9</v>
      </c>
    </row>
    <row r="399" spans="1:15">
      <c r="A399" t="s">
        <v>428</v>
      </c>
      <c r="B399" t="s">
        <v>21</v>
      </c>
      <c r="C399" t="s">
        <v>22</v>
      </c>
      <c r="D399" t="s">
        <v>23</v>
      </c>
      <c r="E399" s="1">
        <v>45796</v>
      </c>
      <c r="F399" s="3">
        <v>454</v>
      </c>
      <c r="G399" s="3">
        <v>5</v>
      </c>
      <c r="H399">
        <v>2.0299999999999998</v>
      </c>
      <c r="I399" s="2">
        <v>27247.89</v>
      </c>
      <c r="J399" s="2">
        <v>35101.01</v>
      </c>
      <c r="K399">
        <v>87.9</v>
      </c>
      <c r="L399" t="s">
        <v>37</v>
      </c>
      <c r="M399">
        <f>MONTH(Manufacturing[[#This Row],[Production Date]])</f>
        <v>5</v>
      </c>
      <c r="N399">
        <f>YEAR(Manufacturing[[#This Row],[Production Date]])</f>
        <v>2025</v>
      </c>
      <c r="O399" t="str">
        <f t="shared" si="6"/>
        <v>0-9</v>
      </c>
    </row>
    <row r="400" spans="1:15">
      <c r="A400" t="s">
        <v>429</v>
      </c>
      <c r="B400" t="s">
        <v>21</v>
      </c>
      <c r="C400" t="s">
        <v>22</v>
      </c>
      <c r="D400" t="s">
        <v>27</v>
      </c>
      <c r="E400" s="1">
        <v>45886</v>
      </c>
      <c r="F400" s="3">
        <v>2329</v>
      </c>
      <c r="G400" s="3">
        <v>31</v>
      </c>
      <c r="H400">
        <v>9.59</v>
      </c>
      <c r="I400" s="2">
        <v>14161.28</v>
      </c>
      <c r="J400" s="2">
        <v>18290.12</v>
      </c>
      <c r="K400">
        <v>85.35</v>
      </c>
      <c r="L400" t="s">
        <v>33</v>
      </c>
      <c r="M400">
        <f>MONTH(Manufacturing[[#This Row],[Production Date]])</f>
        <v>8</v>
      </c>
      <c r="N400">
        <f>YEAR(Manufacturing[[#This Row],[Production Date]])</f>
        <v>2025</v>
      </c>
      <c r="O400" t="str">
        <f t="shared" si="6"/>
        <v>30-39</v>
      </c>
    </row>
    <row r="401" spans="1:15">
      <c r="A401" t="s">
        <v>430</v>
      </c>
      <c r="B401" t="s">
        <v>31</v>
      </c>
      <c r="C401" t="s">
        <v>32</v>
      </c>
      <c r="D401" t="s">
        <v>27</v>
      </c>
      <c r="E401" s="1">
        <v>45805</v>
      </c>
      <c r="F401" s="3">
        <v>3580</v>
      </c>
      <c r="G401" s="3">
        <v>12</v>
      </c>
      <c r="H401">
        <v>0.2</v>
      </c>
      <c r="I401" s="2">
        <v>36887.46</v>
      </c>
      <c r="J401" s="2">
        <v>53806.12</v>
      </c>
      <c r="K401">
        <v>75.56</v>
      </c>
      <c r="L401" t="s">
        <v>29</v>
      </c>
      <c r="M401">
        <f>MONTH(Manufacturing[[#This Row],[Production Date]])</f>
        <v>5</v>
      </c>
      <c r="N401">
        <f>YEAR(Manufacturing[[#This Row],[Production Date]])</f>
        <v>2025</v>
      </c>
      <c r="O401" t="str">
        <f t="shared" si="6"/>
        <v>10-19</v>
      </c>
    </row>
    <row r="402" spans="1:15">
      <c r="A402" t="s">
        <v>431</v>
      </c>
      <c r="B402" t="s">
        <v>21</v>
      </c>
      <c r="C402" t="s">
        <v>22</v>
      </c>
      <c r="D402" t="s">
        <v>27</v>
      </c>
      <c r="E402" s="1">
        <v>45812</v>
      </c>
      <c r="F402" s="3">
        <v>437</v>
      </c>
      <c r="G402" s="3">
        <v>4</v>
      </c>
      <c r="H402">
        <v>1</v>
      </c>
      <c r="I402" s="2">
        <v>33596</v>
      </c>
      <c r="J402" s="2">
        <v>38415.629999999997</v>
      </c>
      <c r="K402">
        <v>71.47</v>
      </c>
      <c r="L402" t="s">
        <v>19</v>
      </c>
      <c r="M402">
        <f>MONTH(Manufacturing[[#This Row],[Production Date]])</f>
        <v>6</v>
      </c>
      <c r="N402">
        <f>YEAR(Manufacturing[[#This Row],[Production Date]])</f>
        <v>2025</v>
      </c>
      <c r="O402" t="str">
        <f t="shared" si="6"/>
        <v>0-9</v>
      </c>
    </row>
    <row r="403" spans="1:15">
      <c r="A403" t="s">
        <v>432</v>
      </c>
      <c r="B403" t="s">
        <v>36</v>
      </c>
      <c r="C403" t="s">
        <v>32</v>
      </c>
      <c r="D403" t="s">
        <v>23</v>
      </c>
      <c r="E403" s="1">
        <v>45876</v>
      </c>
      <c r="F403" s="3">
        <v>971</v>
      </c>
      <c r="G403" s="3">
        <v>4</v>
      </c>
      <c r="H403">
        <v>9.36</v>
      </c>
      <c r="I403" s="2">
        <v>36509.99</v>
      </c>
      <c r="J403" s="2">
        <v>47841.25</v>
      </c>
      <c r="K403">
        <v>91.26</v>
      </c>
      <c r="L403" t="s">
        <v>19</v>
      </c>
      <c r="M403">
        <f>MONTH(Manufacturing[[#This Row],[Production Date]])</f>
        <v>8</v>
      </c>
      <c r="N403">
        <f>YEAR(Manufacturing[[#This Row],[Production Date]])</f>
        <v>2025</v>
      </c>
      <c r="O403" t="str">
        <f t="shared" si="6"/>
        <v>0-9</v>
      </c>
    </row>
    <row r="404" spans="1:15">
      <c r="A404" t="s">
        <v>433</v>
      </c>
      <c r="B404" t="s">
        <v>31</v>
      </c>
      <c r="C404" t="s">
        <v>17</v>
      </c>
      <c r="D404" t="s">
        <v>23</v>
      </c>
      <c r="E404" s="1">
        <v>45720</v>
      </c>
      <c r="F404" s="3">
        <v>275</v>
      </c>
      <c r="G404" s="3">
        <v>11</v>
      </c>
      <c r="H404">
        <v>7.34</v>
      </c>
      <c r="I404" s="2">
        <v>5706.64</v>
      </c>
      <c r="J404" s="2">
        <v>7202.72</v>
      </c>
      <c r="K404">
        <v>70.91</v>
      </c>
      <c r="L404" t="s">
        <v>33</v>
      </c>
      <c r="M404">
        <f>MONTH(Manufacturing[[#This Row],[Production Date]])</f>
        <v>3</v>
      </c>
      <c r="N404">
        <f>YEAR(Manufacturing[[#This Row],[Production Date]])</f>
        <v>2025</v>
      </c>
      <c r="O404" t="str">
        <f t="shared" si="6"/>
        <v>10-19</v>
      </c>
    </row>
    <row r="405" spans="1:15">
      <c r="A405" t="s">
        <v>434</v>
      </c>
      <c r="B405" t="s">
        <v>26</v>
      </c>
      <c r="C405" t="s">
        <v>22</v>
      </c>
      <c r="D405" t="s">
        <v>23</v>
      </c>
      <c r="E405" s="1">
        <v>45881</v>
      </c>
      <c r="F405" s="3">
        <v>4904</v>
      </c>
      <c r="G405" s="3">
        <v>45</v>
      </c>
      <c r="H405">
        <v>4.1900000000000004</v>
      </c>
      <c r="I405" s="2">
        <v>29706.71</v>
      </c>
      <c r="J405" s="2">
        <v>34202.769999999997</v>
      </c>
      <c r="K405">
        <v>70.510000000000005</v>
      </c>
      <c r="L405" t="s">
        <v>19</v>
      </c>
      <c r="M405">
        <f>MONTH(Manufacturing[[#This Row],[Production Date]])</f>
        <v>8</v>
      </c>
      <c r="N405">
        <f>YEAR(Manufacturing[[#This Row],[Production Date]])</f>
        <v>2025</v>
      </c>
      <c r="O405" t="str">
        <f t="shared" si="6"/>
        <v>40-49</v>
      </c>
    </row>
    <row r="406" spans="1:15">
      <c r="A406" t="s">
        <v>435</v>
      </c>
      <c r="B406" t="s">
        <v>26</v>
      </c>
      <c r="C406" t="s">
        <v>22</v>
      </c>
      <c r="D406" t="s">
        <v>18</v>
      </c>
      <c r="E406" s="1">
        <v>45637</v>
      </c>
      <c r="F406" s="3">
        <v>3431</v>
      </c>
      <c r="G406" s="3">
        <v>40</v>
      </c>
      <c r="H406">
        <v>1.4</v>
      </c>
      <c r="I406" s="2">
        <v>9749.94</v>
      </c>
      <c r="J406" s="2">
        <v>13743.01</v>
      </c>
      <c r="K406">
        <v>74.150000000000006</v>
      </c>
      <c r="L406" t="s">
        <v>33</v>
      </c>
      <c r="M406">
        <f>MONTH(Manufacturing[[#This Row],[Production Date]])</f>
        <v>12</v>
      </c>
      <c r="N406">
        <f>YEAR(Manufacturing[[#This Row],[Production Date]])</f>
        <v>2024</v>
      </c>
      <c r="O406" t="str">
        <f t="shared" si="6"/>
        <v>40-49</v>
      </c>
    </row>
    <row r="407" spans="1:15">
      <c r="A407" t="s">
        <v>436</v>
      </c>
      <c r="B407" t="s">
        <v>36</v>
      </c>
      <c r="C407" t="s">
        <v>32</v>
      </c>
      <c r="D407" t="s">
        <v>27</v>
      </c>
      <c r="E407" s="1">
        <v>45692</v>
      </c>
      <c r="F407" s="3">
        <v>3113</v>
      </c>
      <c r="G407" s="3">
        <v>33</v>
      </c>
      <c r="H407">
        <v>7.94</v>
      </c>
      <c r="I407" s="2">
        <v>3645.77</v>
      </c>
      <c r="J407" s="2">
        <v>4494.43</v>
      </c>
      <c r="K407">
        <v>95.29</v>
      </c>
      <c r="L407" t="s">
        <v>29</v>
      </c>
      <c r="M407">
        <f>MONTH(Manufacturing[[#This Row],[Production Date]])</f>
        <v>2</v>
      </c>
      <c r="N407">
        <f>YEAR(Manufacturing[[#This Row],[Production Date]])</f>
        <v>2025</v>
      </c>
      <c r="O407" t="str">
        <f t="shared" si="6"/>
        <v>30-39</v>
      </c>
    </row>
    <row r="408" spans="1:15">
      <c r="A408" t="s">
        <v>437</v>
      </c>
      <c r="B408" t="s">
        <v>21</v>
      </c>
      <c r="C408" t="s">
        <v>22</v>
      </c>
      <c r="D408" t="s">
        <v>18</v>
      </c>
      <c r="E408" s="1">
        <v>45925</v>
      </c>
      <c r="F408" s="3">
        <v>2611</v>
      </c>
      <c r="G408" s="3">
        <v>11</v>
      </c>
      <c r="H408">
        <v>5.87</v>
      </c>
      <c r="I408" s="2">
        <v>6400.39</v>
      </c>
      <c r="J408" s="2">
        <v>8317.5</v>
      </c>
      <c r="K408">
        <v>99.11</v>
      </c>
      <c r="L408" t="s">
        <v>19</v>
      </c>
      <c r="M408">
        <f>MONTH(Manufacturing[[#This Row],[Production Date]])</f>
        <v>9</v>
      </c>
      <c r="N408">
        <f>YEAR(Manufacturing[[#This Row],[Production Date]])</f>
        <v>2025</v>
      </c>
      <c r="O408" t="str">
        <f t="shared" si="6"/>
        <v>10-19</v>
      </c>
    </row>
    <row r="409" spans="1:15">
      <c r="A409" t="s">
        <v>438</v>
      </c>
      <c r="B409" t="s">
        <v>36</v>
      </c>
      <c r="C409" t="s">
        <v>32</v>
      </c>
      <c r="D409" t="s">
        <v>23</v>
      </c>
      <c r="E409" s="1">
        <v>45624</v>
      </c>
      <c r="F409" s="3">
        <v>232</v>
      </c>
      <c r="G409" s="3">
        <v>41</v>
      </c>
      <c r="H409">
        <v>0.65</v>
      </c>
      <c r="I409" s="2">
        <v>1357.18</v>
      </c>
      <c r="J409" s="2">
        <v>1859.96</v>
      </c>
      <c r="K409">
        <v>91.51</v>
      </c>
      <c r="L409" t="s">
        <v>37</v>
      </c>
      <c r="M409">
        <f>MONTH(Manufacturing[[#This Row],[Production Date]])</f>
        <v>11</v>
      </c>
      <c r="N409">
        <f>YEAR(Manufacturing[[#This Row],[Production Date]])</f>
        <v>2024</v>
      </c>
      <c r="O409" t="str">
        <f t="shared" si="6"/>
        <v>40-49</v>
      </c>
    </row>
    <row r="410" spans="1:15">
      <c r="A410" t="s">
        <v>439</v>
      </c>
      <c r="B410" t="s">
        <v>26</v>
      </c>
      <c r="C410" t="s">
        <v>22</v>
      </c>
      <c r="D410" t="s">
        <v>18</v>
      </c>
      <c r="E410" s="1">
        <v>45620</v>
      </c>
      <c r="F410" s="3">
        <v>222</v>
      </c>
      <c r="G410" s="3">
        <v>45</v>
      </c>
      <c r="H410">
        <v>7.12</v>
      </c>
      <c r="I410" s="2">
        <v>46230.49</v>
      </c>
      <c r="J410" s="2">
        <v>65097.69</v>
      </c>
      <c r="K410">
        <v>89.91</v>
      </c>
      <c r="L410" t="s">
        <v>33</v>
      </c>
      <c r="M410">
        <f>MONTH(Manufacturing[[#This Row],[Production Date]])</f>
        <v>11</v>
      </c>
      <c r="N410">
        <f>YEAR(Manufacturing[[#This Row],[Production Date]])</f>
        <v>2024</v>
      </c>
      <c r="O410" t="str">
        <f t="shared" si="6"/>
        <v>40-49</v>
      </c>
    </row>
    <row r="411" spans="1:15">
      <c r="A411" t="s">
        <v>440</v>
      </c>
      <c r="B411" t="s">
        <v>16</v>
      </c>
      <c r="C411" t="s">
        <v>22</v>
      </c>
      <c r="D411" t="s">
        <v>18</v>
      </c>
      <c r="E411" s="1">
        <v>45824</v>
      </c>
      <c r="F411" s="3">
        <v>4497</v>
      </c>
      <c r="G411" s="3">
        <v>27</v>
      </c>
      <c r="H411">
        <v>0.61</v>
      </c>
      <c r="I411" s="2">
        <v>12415.27</v>
      </c>
      <c r="J411" s="2">
        <v>15790.81</v>
      </c>
      <c r="K411">
        <v>75.77</v>
      </c>
      <c r="L411" t="s">
        <v>19</v>
      </c>
      <c r="M411">
        <f>MONTH(Manufacturing[[#This Row],[Production Date]])</f>
        <v>6</v>
      </c>
      <c r="N411">
        <f>YEAR(Manufacturing[[#This Row],[Production Date]])</f>
        <v>2025</v>
      </c>
      <c r="O411" t="str">
        <f t="shared" si="6"/>
        <v>20-29</v>
      </c>
    </row>
    <row r="412" spans="1:15">
      <c r="A412" t="s">
        <v>441</v>
      </c>
      <c r="B412" t="s">
        <v>26</v>
      </c>
      <c r="C412" t="s">
        <v>32</v>
      </c>
      <c r="D412" t="s">
        <v>18</v>
      </c>
      <c r="E412" s="1">
        <v>45873</v>
      </c>
      <c r="F412" s="3">
        <v>1181</v>
      </c>
      <c r="G412" s="3">
        <v>21</v>
      </c>
      <c r="H412">
        <v>3.14</v>
      </c>
      <c r="I412" s="2">
        <v>22157.21</v>
      </c>
      <c r="J412" s="2">
        <v>26070.959999999999</v>
      </c>
      <c r="K412">
        <v>99.7</v>
      </c>
      <c r="L412" t="s">
        <v>19</v>
      </c>
      <c r="M412">
        <f>MONTH(Manufacturing[[#This Row],[Production Date]])</f>
        <v>8</v>
      </c>
      <c r="N412">
        <f>YEAR(Manufacturing[[#This Row],[Production Date]])</f>
        <v>2025</v>
      </c>
      <c r="O412" t="str">
        <f t="shared" si="6"/>
        <v>20-29</v>
      </c>
    </row>
    <row r="413" spans="1:15">
      <c r="A413" t="s">
        <v>442</v>
      </c>
      <c r="B413" t="s">
        <v>26</v>
      </c>
      <c r="C413" t="s">
        <v>32</v>
      </c>
      <c r="D413" t="s">
        <v>18</v>
      </c>
      <c r="E413" s="1">
        <v>45773</v>
      </c>
      <c r="F413" s="3">
        <v>4031</v>
      </c>
      <c r="G413" s="3">
        <v>48</v>
      </c>
      <c r="H413">
        <v>2.75</v>
      </c>
      <c r="I413" s="2">
        <v>1876.6</v>
      </c>
      <c r="J413" s="2">
        <v>2199.75</v>
      </c>
      <c r="K413">
        <v>75.5</v>
      </c>
      <c r="L413" t="s">
        <v>37</v>
      </c>
      <c r="M413">
        <f>MONTH(Manufacturing[[#This Row],[Production Date]])</f>
        <v>4</v>
      </c>
      <c r="N413">
        <f>YEAR(Manufacturing[[#This Row],[Production Date]])</f>
        <v>2025</v>
      </c>
      <c r="O413" t="str">
        <f t="shared" si="6"/>
        <v>40-49</v>
      </c>
    </row>
    <row r="414" spans="1:15">
      <c r="A414" t="s">
        <v>443</v>
      </c>
      <c r="B414" t="s">
        <v>36</v>
      </c>
      <c r="C414" t="s">
        <v>17</v>
      </c>
      <c r="D414" t="s">
        <v>23</v>
      </c>
      <c r="E414" s="1">
        <v>45947</v>
      </c>
      <c r="F414" s="3">
        <v>2892</v>
      </c>
      <c r="G414" s="3">
        <v>36</v>
      </c>
      <c r="H414">
        <v>7.78</v>
      </c>
      <c r="I414" s="2">
        <v>39682.78</v>
      </c>
      <c r="J414" s="2">
        <v>54425.84</v>
      </c>
      <c r="K414">
        <v>91.94</v>
      </c>
      <c r="L414" t="s">
        <v>29</v>
      </c>
      <c r="M414">
        <f>MONTH(Manufacturing[[#This Row],[Production Date]])</f>
        <v>10</v>
      </c>
      <c r="N414">
        <f>YEAR(Manufacturing[[#This Row],[Production Date]])</f>
        <v>2025</v>
      </c>
      <c r="O414" t="str">
        <f t="shared" si="6"/>
        <v>30-39</v>
      </c>
    </row>
    <row r="415" spans="1:15">
      <c r="A415" t="s">
        <v>444</v>
      </c>
      <c r="B415" t="s">
        <v>36</v>
      </c>
      <c r="C415" t="s">
        <v>32</v>
      </c>
      <c r="D415" t="s">
        <v>23</v>
      </c>
      <c r="E415" s="1">
        <v>45598</v>
      </c>
      <c r="F415" s="3">
        <v>2415</v>
      </c>
      <c r="G415" s="3">
        <v>37</v>
      </c>
      <c r="H415">
        <v>6.24</v>
      </c>
      <c r="I415" s="2">
        <v>14130.51</v>
      </c>
      <c r="J415" s="2">
        <v>15577.98</v>
      </c>
      <c r="K415">
        <v>87.28</v>
      </c>
      <c r="L415" t="s">
        <v>33</v>
      </c>
      <c r="M415">
        <f>MONTH(Manufacturing[[#This Row],[Production Date]])</f>
        <v>11</v>
      </c>
      <c r="N415">
        <f>YEAR(Manufacturing[[#This Row],[Production Date]])</f>
        <v>2024</v>
      </c>
      <c r="O415" t="str">
        <f t="shared" si="6"/>
        <v>30-39</v>
      </c>
    </row>
    <row r="416" spans="1:15">
      <c r="A416" t="s">
        <v>445</v>
      </c>
      <c r="B416" t="s">
        <v>21</v>
      </c>
      <c r="C416" t="s">
        <v>32</v>
      </c>
      <c r="D416" t="s">
        <v>23</v>
      </c>
      <c r="E416" s="1">
        <v>45695</v>
      </c>
      <c r="F416" s="3">
        <v>4523</v>
      </c>
      <c r="G416" s="3">
        <v>21</v>
      </c>
      <c r="H416">
        <v>6.3</v>
      </c>
      <c r="I416" s="2">
        <v>17634.169999999998</v>
      </c>
      <c r="J416" s="2">
        <v>24467.439999999999</v>
      </c>
      <c r="K416">
        <v>82.4</v>
      </c>
      <c r="L416" t="s">
        <v>33</v>
      </c>
      <c r="M416">
        <f>MONTH(Manufacturing[[#This Row],[Production Date]])</f>
        <v>2</v>
      </c>
      <c r="N416">
        <f>YEAR(Manufacturing[[#This Row],[Production Date]])</f>
        <v>2025</v>
      </c>
      <c r="O416" t="str">
        <f t="shared" si="6"/>
        <v>20-29</v>
      </c>
    </row>
    <row r="417" spans="1:15">
      <c r="A417" t="s">
        <v>446</v>
      </c>
      <c r="B417" t="s">
        <v>26</v>
      </c>
      <c r="C417" t="s">
        <v>32</v>
      </c>
      <c r="D417" t="s">
        <v>23</v>
      </c>
      <c r="E417" s="1">
        <v>45917</v>
      </c>
      <c r="F417" s="3">
        <v>4102</v>
      </c>
      <c r="G417" s="3">
        <v>12</v>
      </c>
      <c r="H417">
        <v>3.12</v>
      </c>
      <c r="I417" s="2">
        <v>40975.33</v>
      </c>
      <c r="J417" s="2">
        <v>51186.31</v>
      </c>
      <c r="K417">
        <v>73.569999999999993</v>
      </c>
      <c r="L417" t="s">
        <v>24</v>
      </c>
      <c r="M417">
        <f>MONTH(Manufacturing[[#This Row],[Production Date]])</f>
        <v>9</v>
      </c>
      <c r="N417">
        <f>YEAR(Manufacturing[[#This Row],[Production Date]])</f>
        <v>2025</v>
      </c>
      <c r="O417" t="str">
        <f t="shared" si="6"/>
        <v>10-19</v>
      </c>
    </row>
    <row r="418" spans="1:15">
      <c r="A418" t="s">
        <v>447</v>
      </c>
      <c r="B418" t="s">
        <v>16</v>
      </c>
      <c r="C418" t="s">
        <v>32</v>
      </c>
      <c r="D418" t="s">
        <v>18</v>
      </c>
      <c r="E418" s="1">
        <v>45850</v>
      </c>
      <c r="F418" s="3">
        <v>4506</v>
      </c>
      <c r="G418" s="3">
        <v>39</v>
      </c>
      <c r="H418">
        <v>3.97</v>
      </c>
      <c r="I418" s="2">
        <v>33026.35</v>
      </c>
      <c r="J418" s="2">
        <v>44539.62</v>
      </c>
      <c r="K418">
        <v>99.16</v>
      </c>
      <c r="L418" t="s">
        <v>29</v>
      </c>
      <c r="M418">
        <f>MONTH(Manufacturing[[#This Row],[Production Date]])</f>
        <v>7</v>
      </c>
      <c r="N418">
        <f>YEAR(Manufacturing[[#This Row],[Production Date]])</f>
        <v>2025</v>
      </c>
      <c r="O418" t="str">
        <f t="shared" si="6"/>
        <v>30-39</v>
      </c>
    </row>
    <row r="419" spans="1:15">
      <c r="A419" t="s">
        <v>448</v>
      </c>
      <c r="B419" t="s">
        <v>26</v>
      </c>
      <c r="C419" t="s">
        <v>22</v>
      </c>
      <c r="D419" t="s">
        <v>23</v>
      </c>
      <c r="E419" s="1">
        <v>45823</v>
      </c>
      <c r="F419" s="3">
        <v>4620</v>
      </c>
      <c r="G419" s="3">
        <v>9</v>
      </c>
      <c r="H419">
        <v>9.81</v>
      </c>
      <c r="I419" s="2">
        <v>46592.87</v>
      </c>
      <c r="J419" s="2">
        <v>57914.69</v>
      </c>
      <c r="K419">
        <v>75.67</v>
      </c>
      <c r="L419" t="s">
        <v>29</v>
      </c>
      <c r="M419">
        <f>MONTH(Manufacturing[[#This Row],[Production Date]])</f>
        <v>6</v>
      </c>
      <c r="N419">
        <f>YEAR(Manufacturing[[#This Row],[Production Date]])</f>
        <v>2025</v>
      </c>
      <c r="O419" t="str">
        <f t="shared" si="6"/>
        <v>0-9</v>
      </c>
    </row>
    <row r="420" spans="1:15">
      <c r="A420" t="s">
        <v>449</v>
      </c>
      <c r="B420" t="s">
        <v>26</v>
      </c>
      <c r="C420" t="s">
        <v>17</v>
      </c>
      <c r="D420" t="s">
        <v>27</v>
      </c>
      <c r="E420" s="1">
        <v>45746</v>
      </c>
      <c r="F420" s="3">
        <v>184</v>
      </c>
      <c r="G420" s="3">
        <v>47</v>
      </c>
      <c r="H420">
        <v>2.8</v>
      </c>
      <c r="I420" s="2">
        <v>30702.11</v>
      </c>
      <c r="J420" s="2">
        <v>39575.550000000003</v>
      </c>
      <c r="K420">
        <v>74.239999999999995</v>
      </c>
      <c r="L420" t="s">
        <v>29</v>
      </c>
      <c r="M420">
        <f>MONTH(Manufacturing[[#This Row],[Production Date]])</f>
        <v>3</v>
      </c>
      <c r="N420">
        <f>YEAR(Manufacturing[[#This Row],[Production Date]])</f>
        <v>2025</v>
      </c>
      <c r="O420" t="str">
        <f t="shared" si="6"/>
        <v>40-49</v>
      </c>
    </row>
    <row r="421" spans="1:15">
      <c r="A421" t="s">
        <v>450</v>
      </c>
      <c r="B421" t="s">
        <v>26</v>
      </c>
      <c r="C421" t="s">
        <v>22</v>
      </c>
      <c r="D421" t="s">
        <v>18</v>
      </c>
      <c r="E421" s="1">
        <v>45690</v>
      </c>
      <c r="F421" s="3">
        <v>2296</v>
      </c>
      <c r="G421" s="3">
        <v>12</v>
      </c>
      <c r="H421">
        <v>1.65</v>
      </c>
      <c r="I421" s="2">
        <v>22256.11</v>
      </c>
      <c r="J421" s="2">
        <v>32191.41</v>
      </c>
      <c r="K421">
        <v>72.05</v>
      </c>
      <c r="L421" t="s">
        <v>24</v>
      </c>
      <c r="M421">
        <f>MONTH(Manufacturing[[#This Row],[Production Date]])</f>
        <v>2</v>
      </c>
      <c r="N421">
        <f>YEAR(Manufacturing[[#This Row],[Production Date]])</f>
        <v>2025</v>
      </c>
      <c r="O421" t="str">
        <f t="shared" si="6"/>
        <v>10-19</v>
      </c>
    </row>
    <row r="422" spans="1:15">
      <c r="A422" t="s">
        <v>451</v>
      </c>
      <c r="B422" t="s">
        <v>26</v>
      </c>
      <c r="C422" t="s">
        <v>32</v>
      </c>
      <c r="D422" t="s">
        <v>23</v>
      </c>
      <c r="E422" s="1">
        <v>45803</v>
      </c>
      <c r="F422" s="3">
        <v>345</v>
      </c>
      <c r="G422" s="3">
        <v>15</v>
      </c>
      <c r="H422">
        <v>3.72</v>
      </c>
      <c r="I422" s="2">
        <v>37790.11</v>
      </c>
      <c r="J422" s="2">
        <v>41922.21</v>
      </c>
      <c r="K422">
        <v>87.27</v>
      </c>
      <c r="L422" t="s">
        <v>19</v>
      </c>
      <c r="M422">
        <f>MONTH(Manufacturing[[#This Row],[Production Date]])</f>
        <v>5</v>
      </c>
      <c r="N422">
        <f>YEAR(Manufacturing[[#This Row],[Production Date]])</f>
        <v>2025</v>
      </c>
      <c r="O422" t="str">
        <f t="shared" si="6"/>
        <v>10-19</v>
      </c>
    </row>
    <row r="423" spans="1:15">
      <c r="A423" t="s">
        <v>452</v>
      </c>
      <c r="B423" t="s">
        <v>36</v>
      </c>
      <c r="C423" t="s">
        <v>32</v>
      </c>
      <c r="D423" t="s">
        <v>23</v>
      </c>
      <c r="E423" s="1">
        <v>45869</v>
      </c>
      <c r="F423" s="3">
        <v>3207</v>
      </c>
      <c r="G423" s="3">
        <v>46</v>
      </c>
      <c r="H423">
        <v>1.69</v>
      </c>
      <c r="I423" s="2">
        <v>7891.3</v>
      </c>
      <c r="J423" s="2">
        <v>10060.83</v>
      </c>
      <c r="K423">
        <v>91.29</v>
      </c>
      <c r="L423" t="s">
        <v>24</v>
      </c>
      <c r="M423">
        <f>MONTH(Manufacturing[[#This Row],[Production Date]])</f>
        <v>7</v>
      </c>
      <c r="N423">
        <f>YEAR(Manufacturing[[#This Row],[Production Date]])</f>
        <v>2025</v>
      </c>
      <c r="O423" t="str">
        <f t="shared" si="6"/>
        <v>40-49</v>
      </c>
    </row>
    <row r="424" spans="1:15">
      <c r="A424" t="s">
        <v>453</v>
      </c>
      <c r="B424" t="s">
        <v>26</v>
      </c>
      <c r="C424" t="s">
        <v>32</v>
      </c>
      <c r="D424" t="s">
        <v>23</v>
      </c>
      <c r="E424" s="1">
        <v>45872</v>
      </c>
      <c r="F424" s="3">
        <v>3608</v>
      </c>
      <c r="G424" s="3">
        <v>5</v>
      </c>
      <c r="H424">
        <v>6.84</v>
      </c>
      <c r="I424" s="2">
        <v>45691.41</v>
      </c>
      <c r="J424" s="2">
        <v>68355.34</v>
      </c>
      <c r="K424">
        <v>79.47</v>
      </c>
      <c r="L424" t="s">
        <v>33</v>
      </c>
      <c r="M424">
        <f>MONTH(Manufacturing[[#This Row],[Production Date]])</f>
        <v>8</v>
      </c>
      <c r="N424">
        <f>YEAR(Manufacturing[[#This Row],[Production Date]])</f>
        <v>2025</v>
      </c>
      <c r="O424" t="str">
        <f t="shared" si="6"/>
        <v>0-9</v>
      </c>
    </row>
    <row r="425" spans="1:15">
      <c r="A425" t="s">
        <v>454</v>
      </c>
      <c r="B425" t="s">
        <v>21</v>
      </c>
      <c r="C425" t="s">
        <v>17</v>
      </c>
      <c r="D425" t="s">
        <v>23</v>
      </c>
      <c r="E425" s="1">
        <v>45611</v>
      </c>
      <c r="F425" s="3">
        <v>2139</v>
      </c>
      <c r="G425" s="3">
        <v>37</v>
      </c>
      <c r="H425">
        <v>9.33</v>
      </c>
      <c r="I425" s="2">
        <v>43215.57</v>
      </c>
      <c r="J425" s="2">
        <v>50932.99</v>
      </c>
      <c r="K425">
        <v>76.84</v>
      </c>
      <c r="L425" t="s">
        <v>29</v>
      </c>
      <c r="M425">
        <f>MONTH(Manufacturing[[#This Row],[Production Date]])</f>
        <v>11</v>
      </c>
      <c r="N425">
        <f>YEAR(Manufacturing[[#This Row],[Production Date]])</f>
        <v>2024</v>
      </c>
      <c r="O425" t="str">
        <f t="shared" si="6"/>
        <v>30-39</v>
      </c>
    </row>
    <row r="426" spans="1:15">
      <c r="A426" t="s">
        <v>455</v>
      </c>
      <c r="B426" t="s">
        <v>26</v>
      </c>
      <c r="C426" t="s">
        <v>32</v>
      </c>
      <c r="D426" t="s">
        <v>23</v>
      </c>
      <c r="E426" s="1">
        <v>45614</v>
      </c>
      <c r="F426" s="3">
        <v>548</v>
      </c>
      <c r="G426" s="3">
        <v>10</v>
      </c>
      <c r="H426">
        <v>7.88</v>
      </c>
      <c r="I426" s="2">
        <v>35660.800000000003</v>
      </c>
      <c r="J426" s="2">
        <v>39778.85</v>
      </c>
      <c r="K426">
        <v>78.45</v>
      </c>
      <c r="L426" t="s">
        <v>37</v>
      </c>
      <c r="M426">
        <f>MONTH(Manufacturing[[#This Row],[Production Date]])</f>
        <v>11</v>
      </c>
      <c r="N426">
        <f>YEAR(Manufacturing[[#This Row],[Production Date]])</f>
        <v>2024</v>
      </c>
      <c r="O426" t="str">
        <f t="shared" si="6"/>
        <v>10-19</v>
      </c>
    </row>
    <row r="427" spans="1:15">
      <c r="A427" t="s">
        <v>456</v>
      </c>
      <c r="B427" t="s">
        <v>16</v>
      </c>
      <c r="C427" t="s">
        <v>17</v>
      </c>
      <c r="D427" t="s">
        <v>27</v>
      </c>
      <c r="E427" s="1">
        <v>45873</v>
      </c>
      <c r="F427" s="3">
        <v>905</v>
      </c>
      <c r="G427" s="3">
        <v>33</v>
      </c>
      <c r="H427">
        <v>2.38</v>
      </c>
      <c r="I427" s="2">
        <v>8442.5400000000009</v>
      </c>
      <c r="J427" s="2">
        <v>9296.17</v>
      </c>
      <c r="K427">
        <v>72.73</v>
      </c>
      <c r="L427" t="s">
        <v>29</v>
      </c>
      <c r="M427">
        <f>MONTH(Manufacturing[[#This Row],[Production Date]])</f>
        <v>8</v>
      </c>
      <c r="N427">
        <f>YEAR(Manufacturing[[#This Row],[Production Date]])</f>
        <v>2025</v>
      </c>
      <c r="O427" t="str">
        <f t="shared" si="6"/>
        <v>30-39</v>
      </c>
    </row>
    <row r="428" spans="1:15">
      <c r="A428" t="s">
        <v>457</v>
      </c>
      <c r="B428" t="s">
        <v>16</v>
      </c>
      <c r="C428" t="s">
        <v>32</v>
      </c>
      <c r="D428" t="s">
        <v>18</v>
      </c>
      <c r="E428" s="1">
        <v>45685</v>
      </c>
      <c r="F428" s="3">
        <v>3705</v>
      </c>
      <c r="G428" s="3">
        <v>10</v>
      </c>
      <c r="H428">
        <v>9.01</v>
      </c>
      <c r="I428" s="2">
        <v>21467.47</v>
      </c>
      <c r="J428" s="2">
        <v>28975.53</v>
      </c>
      <c r="K428">
        <v>76.87</v>
      </c>
      <c r="L428" t="s">
        <v>29</v>
      </c>
      <c r="M428">
        <f>MONTH(Manufacturing[[#This Row],[Production Date]])</f>
        <v>1</v>
      </c>
      <c r="N428">
        <f>YEAR(Manufacturing[[#This Row],[Production Date]])</f>
        <v>2025</v>
      </c>
      <c r="O428" t="str">
        <f t="shared" si="6"/>
        <v>10-19</v>
      </c>
    </row>
    <row r="429" spans="1:15">
      <c r="A429" t="s">
        <v>458</v>
      </c>
      <c r="B429" t="s">
        <v>26</v>
      </c>
      <c r="C429" t="s">
        <v>22</v>
      </c>
      <c r="D429" t="s">
        <v>18</v>
      </c>
      <c r="E429" s="1">
        <v>45671</v>
      </c>
      <c r="F429" s="3">
        <v>4730</v>
      </c>
      <c r="G429" s="3">
        <v>22</v>
      </c>
      <c r="H429">
        <v>0.23</v>
      </c>
      <c r="I429" s="2">
        <v>3366.79</v>
      </c>
      <c r="J429" s="2">
        <v>4212</v>
      </c>
      <c r="K429">
        <v>97.7</v>
      </c>
      <c r="L429" t="s">
        <v>33</v>
      </c>
      <c r="M429">
        <f>MONTH(Manufacturing[[#This Row],[Production Date]])</f>
        <v>1</v>
      </c>
      <c r="N429">
        <f>YEAR(Manufacturing[[#This Row],[Production Date]])</f>
        <v>2025</v>
      </c>
      <c r="O429" t="str">
        <f t="shared" si="6"/>
        <v>20-29</v>
      </c>
    </row>
    <row r="430" spans="1:15">
      <c r="A430" t="s">
        <v>459</v>
      </c>
      <c r="B430" t="s">
        <v>26</v>
      </c>
      <c r="C430" t="s">
        <v>32</v>
      </c>
      <c r="D430" t="s">
        <v>27</v>
      </c>
      <c r="E430" s="1">
        <v>45927</v>
      </c>
      <c r="F430" s="3">
        <v>1939</v>
      </c>
      <c r="G430" s="3">
        <v>45</v>
      </c>
      <c r="H430">
        <v>8.17</v>
      </c>
      <c r="I430" s="2">
        <v>38028.86</v>
      </c>
      <c r="J430" s="2">
        <v>44017.75</v>
      </c>
      <c r="K430">
        <v>92.35</v>
      </c>
      <c r="L430" t="s">
        <v>33</v>
      </c>
      <c r="M430">
        <f>MONTH(Manufacturing[[#This Row],[Production Date]])</f>
        <v>9</v>
      </c>
      <c r="N430">
        <f>YEAR(Manufacturing[[#This Row],[Production Date]])</f>
        <v>2025</v>
      </c>
      <c r="O430" t="str">
        <f t="shared" si="6"/>
        <v>40-49</v>
      </c>
    </row>
    <row r="431" spans="1:15">
      <c r="A431" t="s">
        <v>460</v>
      </c>
      <c r="B431" t="s">
        <v>31</v>
      </c>
      <c r="C431" t="s">
        <v>32</v>
      </c>
      <c r="D431" t="s">
        <v>23</v>
      </c>
      <c r="E431" s="1">
        <v>45633</v>
      </c>
      <c r="F431" s="3">
        <v>3376</v>
      </c>
      <c r="G431" s="3">
        <v>39</v>
      </c>
      <c r="H431">
        <v>0.51</v>
      </c>
      <c r="I431" s="2">
        <v>18463.75</v>
      </c>
      <c r="J431" s="2">
        <v>22782.19</v>
      </c>
      <c r="K431">
        <v>78.34</v>
      </c>
      <c r="L431" t="s">
        <v>24</v>
      </c>
      <c r="M431">
        <f>MONTH(Manufacturing[[#This Row],[Production Date]])</f>
        <v>12</v>
      </c>
      <c r="N431">
        <f>YEAR(Manufacturing[[#This Row],[Production Date]])</f>
        <v>2024</v>
      </c>
      <c r="O431" t="str">
        <f t="shared" si="6"/>
        <v>30-39</v>
      </c>
    </row>
    <row r="432" spans="1:15">
      <c r="A432" t="s">
        <v>461</v>
      </c>
      <c r="B432" t="s">
        <v>26</v>
      </c>
      <c r="C432" t="s">
        <v>32</v>
      </c>
      <c r="D432" t="s">
        <v>23</v>
      </c>
      <c r="E432" s="1">
        <v>45673</v>
      </c>
      <c r="F432" s="3">
        <v>4656</v>
      </c>
      <c r="G432" s="3">
        <v>26</v>
      </c>
      <c r="H432">
        <v>2.77</v>
      </c>
      <c r="I432" s="2">
        <v>37399.03</v>
      </c>
      <c r="J432" s="2">
        <v>44620.33</v>
      </c>
      <c r="K432">
        <v>93.63</v>
      </c>
      <c r="L432" t="s">
        <v>33</v>
      </c>
      <c r="M432">
        <f>MONTH(Manufacturing[[#This Row],[Production Date]])</f>
        <v>1</v>
      </c>
      <c r="N432">
        <f>YEAR(Manufacturing[[#This Row],[Production Date]])</f>
        <v>2025</v>
      </c>
      <c r="O432" t="str">
        <f t="shared" si="6"/>
        <v>20-29</v>
      </c>
    </row>
    <row r="433" spans="1:15">
      <c r="A433" t="s">
        <v>462</v>
      </c>
      <c r="B433" t="s">
        <v>26</v>
      </c>
      <c r="C433" t="s">
        <v>22</v>
      </c>
      <c r="D433" t="s">
        <v>18</v>
      </c>
      <c r="E433" s="1">
        <v>45783</v>
      </c>
      <c r="F433" s="3">
        <v>2641</v>
      </c>
      <c r="G433" s="3">
        <v>33</v>
      </c>
      <c r="H433">
        <v>1.57</v>
      </c>
      <c r="I433" s="2">
        <v>32386.41</v>
      </c>
      <c r="J433" s="2">
        <v>45707.88</v>
      </c>
      <c r="K433">
        <v>78.11</v>
      </c>
      <c r="L433" t="s">
        <v>19</v>
      </c>
      <c r="M433">
        <f>MONTH(Manufacturing[[#This Row],[Production Date]])</f>
        <v>5</v>
      </c>
      <c r="N433">
        <f>YEAR(Manufacturing[[#This Row],[Production Date]])</f>
        <v>2025</v>
      </c>
      <c r="O433" t="str">
        <f t="shared" si="6"/>
        <v>30-39</v>
      </c>
    </row>
    <row r="434" spans="1:15">
      <c r="A434" t="s">
        <v>463</v>
      </c>
      <c r="B434" t="s">
        <v>26</v>
      </c>
      <c r="C434" t="s">
        <v>32</v>
      </c>
      <c r="D434" t="s">
        <v>27</v>
      </c>
      <c r="E434" s="1">
        <v>45757</v>
      </c>
      <c r="F434" s="3">
        <v>975</v>
      </c>
      <c r="G434" s="3">
        <v>23</v>
      </c>
      <c r="H434">
        <v>3.32</v>
      </c>
      <c r="I434" s="2">
        <v>33563.85</v>
      </c>
      <c r="J434" s="2">
        <v>40903.919999999998</v>
      </c>
      <c r="K434">
        <v>72.760000000000005</v>
      </c>
      <c r="L434" t="s">
        <v>19</v>
      </c>
      <c r="M434">
        <f>MONTH(Manufacturing[[#This Row],[Production Date]])</f>
        <v>4</v>
      </c>
      <c r="N434">
        <f>YEAR(Manufacturing[[#This Row],[Production Date]])</f>
        <v>2025</v>
      </c>
      <c r="O434" t="str">
        <f t="shared" si="6"/>
        <v>20-29</v>
      </c>
    </row>
    <row r="435" spans="1:15">
      <c r="A435" t="s">
        <v>464</v>
      </c>
      <c r="B435" t="s">
        <v>36</v>
      </c>
      <c r="C435" t="s">
        <v>17</v>
      </c>
      <c r="D435" t="s">
        <v>23</v>
      </c>
      <c r="E435" s="1">
        <v>45651</v>
      </c>
      <c r="F435" s="3">
        <v>3057</v>
      </c>
      <c r="G435" s="3">
        <v>41</v>
      </c>
      <c r="H435">
        <v>0.23</v>
      </c>
      <c r="I435" s="2">
        <v>15171.29</v>
      </c>
      <c r="J435" s="2">
        <v>18011.23</v>
      </c>
      <c r="K435">
        <v>70.540000000000006</v>
      </c>
      <c r="L435" t="s">
        <v>29</v>
      </c>
      <c r="M435">
        <f>MONTH(Manufacturing[[#This Row],[Production Date]])</f>
        <v>12</v>
      </c>
      <c r="N435">
        <f>YEAR(Manufacturing[[#This Row],[Production Date]])</f>
        <v>2024</v>
      </c>
      <c r="O435" t="str">
        <f t="shared" si="6"/>
        <v>40-49</v>
      </c>
    </row>
    <row r="436" spans="1:15">
      <c r="A436" t="s">
        <v>465</v>
      </c>
      <c r="B436" t="s">
        <v>16</v>
      </c>
      <c r="C436" t="s">
        <v>17</v>
      </c>
      <c r="D436" t="s">
        <v>23</v>
      </c>
      <c r="E436" s="1">
        <v>45774</v>
      </c>
      <c r="F436" s="3">
        <v>2665</v>
      </c>
      <c r="G436" s="3">
        <v>23</v>
      </c>
      <c r="H436">
        <v>1.65</v>
      </c>
      <c r="I436" s="2">
        <v>24636.12</v>
      </c>
      <c r="J436" s="2">
        <v>27393.43</v>
      </c>
      <c r="K436">
        <v>72.47</v>
      </c>
      <c r="L436" t="s">
        <v>29</v>
      </c>
      <c r="M436">
        <f>MONTH(Manufacturing[[#This Row],[Production Date]])</f>
        <v>4</v>
      </c>
      <c r="N436">
        <f>YEAR(Manufacturing[[#This Row],[Production Date]])</f>
        <v>2025</v>
      </c>
      <c r="O436" t="str">
        <f t="shared" si="6"/>
        <v>20-29</v>
      </c>
    </row>
    <row r="437" spans="1:15">
      <c r="A437" t="s">
        <v>466</v>
      </c>
      <c r="B437" t="s">
        <v>26</v>
      </c>
      <c r="C437" t="s">
        <v>32</v>
      </c>
      <c r="D437" t="s">
        <v>18</v>
      </c>
      <c r="E437" s="1">
        <v>45872</v>
      </c>
      <c r="F437" s="3">
        <v>2589</v>
      </c>
      <c r="G437" s="3">
        <v>50</v>
      </c>
      <c r="H437">
        <v>5.86</v>
      </c>
      <c r="I437" s="2">
        <v>38640.339999999997</v>
      </c>
      <c r="J437" s="2">
        <v>47067.69</v>
      </c>
      <c r="K437">
        <v>82.5</v>
      </c>
      <c r="L437" t="s">
        <v>29</v>
      </c>
      <c r="M437">
        <f>MONTH(Manufacturing[[#This Row],[Production Date]])</f>
        <v>8</v>
      </c>
      <c r="N437">
        <f>YEAR(Manufacturing[[#This Row],[Production Date]])</f>
        <v>2025</v>
      </c>
      <c r="O437" t="str">
        <f t="shared" si="6"/>
        <v>50+</v>
      </c>
    </row>
    <row r="438" spans="1:15">
      <c r="A438" t="s">
        <v>467</v>
      </c>
      <c r="B438" t="s">
        <v>21</v>
      </c>
      <c r="C438" t="s">
        <v>17</v>
      </c>
      <c r="D438" t="s">
        <v>23</v>
      </c>
      <c r="E438" s="1">
        <v>45929</v>
      </c>
      <c r="F438" s="3">
        <v>2014</v>
      </c>
      <c r="G438" s="3">
        <v>26</v>
      </c>
      <c r="H438">
        <v>3.17</v>
      </c>
      <c r="I438" s="2">
        <v>25945.13</v>
      </c>
      <c r="J438" s="2">
        <v>37811.54</v>
      </c>
      <c r="K438">
        <v>83.04</v>
      </c>
      <c r="L438" t="s">
        <v>29</v>
      </c>
      <c r="M438">
        <f>MONTH(Manufacturing[[#This Row],[Production Date]])</f>
        <v>9</v>
      </c>
      <c r="N438">
        <f>YEAR(Manufacturing[[#This Row],[Production Date]])</f>
        <v>2025</v>
      </c>
      <c r="O438" t="str">
        <f t="shared" si="6"/>
        <v>20-29</v>
      </c>
    </row>
    <row r="439" spans="1:15">
      <c r="A439" t="s">
        <v>468</v>
      </c>
      <c r="B439" t="s">
        <v>16</v>
      </c>
      <c r="C439" t="s">
        <v>32</v>
      </c>
      <c r="D439" t="s">
        <v>23</v>
      </c>
      <c r="E439" s="1">
        <v>45692</v>
      </c>
      <c r="F439" s="3">
        <v>573</v>
      </c>
      <c r="G439" s="3">
        <v>42</v>
      </c>
      <c r="H439">
        <v>3.85</v>
      </c>
      <c r="I439" s="2">
        <v>11589.77</v>
      </c>
      <c r="J439" s="2">
        <v>15670.43</v>
      </c>
      <c r="K439">
        <v>82</v>
      </c>
      <c r="L439" t="s">
        <v>24</v>
      </c>
      <c r="M439">
        <f>MONTH(Manufacturing[[#This Row],[Production Date]])</f>
        <v>2</v>
      </c>
      <c r="N439">
        <f>YEAR(Manufacturing[[#This Row],[Production Date]])</f>
        <v>2025</v>
      </c>
      <c r="O439" t="str">
        <f t="shared" si="6"/>
        <v>40-49</v>
      </c>
    </row>
    <row r="440" spans="1:15">
      <c r="A440" t="s">
        <v>469</v>
      </c>
      <c r="B440" t="s">
        <v>31</v>
      </c>
      <c r="C440" t="s">
        <v>22</v>
      </c>
      <c r="D440" t="s">
        <v>27</v>
      </c>
      <c r="E440" s="1">
        <v>45910</v>
      </c>
      <c r="F440" s="3">
        <v>3150</v>
      </c>
      <c r="G440" s="3">
        <v>21</v>
      </c>
      <c r="H440">
        <v>7.02</v>
      </c>
      <c r="I440" s="2">
        <v>38224.92</v>
      </c>
      <c r="J440" s="2">
        <v>55936.480000000003</v>
      </c>
      <c r="K440">
        <v>70.69</v>
      </c>
      <c r="L440" t="s">
        <v>19</v>
      </c>
      <c r="M440">
        <f>MONTH(Manufacturing[[#This Row],[Production Date]])</f>
        <v>9</v>
      </c>
      <c r="N440">
        <f>YEAR(Manufacturing[[#This Row],[Production Date]])</f>
        <v>2025</v>
      </c>
      <c r="O440" t="str">
        <f t="shared" si="6"/>
        <v>20-29</v>
      </c>
    </row>
    <row r="441" spans="1:15">
      <c r="A441" t="s">
        <v>470</v>
      </c>
      <c r="B441" t="s">
        <v>26</v>
      </c>
      <c r="C441" t="s">
        <v>32</v>
      </c>
      <c r="D441" t="s">
        <v>23</v>
      </c>
      <c r="E441" s="1">
        <v>45931</v>
      </c>
      <c r="F441" s="3">
        <v>2463</v>
      </c>
      <c r="G441" s="3">
        <v>37</v>
      </c>
      <c r="H441">
        <v>4.07</v>
      </c>
      <c r="I441" s="2">
        <v>1527.31</v>
      </c>
      <c r="J441" s="2">
        <v>1692.53</v>
      </c>
      <c r="K441">
        <v>88.68</v>
      </c>
      <c r="L441" t="s">
        <v>24</v>
      </c>
      <c r="M441">
        <f>MONTH(Manufacturing[[#This Row],[Production Date]])</f>
        <v>10</v>
      </c>
      <c r="N441">
        <f>YEAR(Manufacturing[[#This Row],[Production Date]])</f>
        <v>2025</v>
      </c>
      <c r="O441" t="str">
        <f t="shared" si="6"/>
        <v>30-39</v>
      </c>
    </row>
    <row r="442" spans="1:15">
      <c r="A442" t="s">
        <v>471</v>
      </c>
      <c r="B442" t="s">
        <v>36</v>
      </c>
      <c r="C442" t="s">
        <v>32</v>
      </c>
      <c r="D442" t="s">
        <v>27</v>
      </c>
      <c r="E442" s="1">
        <v>45801</v>
      </c>
      <c r="F442" s="3">
        <v>3519</v>
      </c>
      <c r="G442" s="3">
        <v>9</v>
      </c>
      <c r="H442">
        <v>1.04</v>
      </c>
      <c r="I442" s="2">
        <v>49770.59</v>
      </c>
      <c r="J442" s="2">
        <v>70796.639999999999</v>
      </c>
      <c r="K442">
        <v>87.93</v>
      </c>
      <c r="L442" t="s">
        <v>24</v>
      </c>
      <c r="M442">
        <f>MONTH(Manufacturing[[#This Row],[Production Date]])</f>
        <v>5</v>
      </c>
      <c r="N442">
        <f>YEAR(Manufacturing[[#This Row],[Production Date]])</f>
        <v>2025</v>
      </c>
      <c r="O442" t="str">
        <f t="shared" si="6"/>
        <v>0-9</v>
      </c>
    </row>
    <row r="443" spans="1:15">
      <c r="A443" t="s">
        <v>472</v>
      </c>
      <c r="B443" t="s">
        <v>16</v>
      </c>
      <c r="C443" t="s">
        <v>17</v>
      </c>
      <c r="D443" t="s">
        <v>27</v>
      </c>
      <c r="E443" s="1">
        <v>45700</v>
      </c>
      <c r="F443" s="3">
        <v>2410</v>
      </c>
      <c r="G443" s="3">
        <v>27</v>
      </c>
      <c r="H443">
        <v>7.86</v>
      </c>
      <c r="I443" s="2">
        <v>12639.22</v>
      </c>
      <c r="J443" s="2">
        <v>17706.439999999999</v>
      </c>
      <c r="K443">
        <v>86.26</v>
      </c>
      <c r="L443" t="s">
        <v>37</v>
      </c>
      <c r="M443">
        <f>MONTH(Manufacturing[[#This Row],[Production Date]])</f>
        <v>2</v>
      </c>
      <c r="N443">
        <f>YEAR(Manufacturing[[#This Row],[Production Date]])</f>
        <v>2025</v>
      </c>
      <c r="O443" t="str">
        <f t="shared" si="6"/>
        <v>20-29</v>
      </c>
    </row>
    <row r="444" spans="1:15">
      <c r="A444" t="s">
        <v>473</v>
      </c>
      <c r="B444" t="s">
        <v>16</v>
      </c>
      <c r="C444" t="s">
        <v>17</v>
      </c>
      <c r="D444" t="s">
        <v>27</v>
      </c>
      <c r="E444" s="1">
        <v>45887</v>
      </c>
      <c r="F444" s="3">
        <v>3876</v>
      </c>
      <c r="G444" s="3">
        <v>20</v>
      </c>
      <c r="H444">
        <v>3.9</v>
      </c>
      <c r="I444" s="2">
        <v>15784.27</v>
      </c>
      <c r="J444" s="2">
        <v>20466.53</v>
      </c>
      <c r="K444">
        <v>84.36</v>
      </c>
      <c r="L444" t="s">
        <v>37</v>
      </c>
      <c r="M444">
        <f>MONTH(Manufacturing[[#This Row],[Production Date]])</f>
        <v>8</v>
      </c>
      <c r="N444">
        <f>YEAR(Manufacturing[[#This Row],[Production Date]])</f>
        <v>2025</v>
      </c>
      <c r="O444" t="str">
        <f t="shared" si="6"/>
        <v>20-29</v>
      </c>
    </row>
    <row r="445" spans="1:15">
      <c r="A445" t="s">
        <v>474</v>
      </c>
      <c r="B445" t="s">
        <v>31</v>
      </c>
      <c r="C445" t="s">
        <v>17</v>
      </c>
      <c r="D445" t="s">
        <v>23</v>
      </c>
      <c r="E445" s="1">
        <v>45622</v>
      </c>
      <c r="F445" s="3">
        <v>997</v>
      </c>
      <c r="G445" s="3">
        <v>29</v>
      </c>
      <c r="H445">
        <v>7.78</v>
      </c>
      <c r="I445" s="2">
        <v>21070.65</v>
      </c>
      <c r="J445" s="2">
        <v>31417.24</v>
      </c>
      <c r="K445">
        <v>79.08</v>
      </c>
      <c r="L445" t="s">
        <v>24</v>
      </c>
      <c r="M445">
        <f>MONTH(Manufacturing[[#This Row],[Production Date]])</f>
        <v>11</v>
      </c>
      <c r="N445">
        <f>YEAR(Manufacturing[[#This Row],[Production Date]])</f>
        <v>2024</v>
      </c>
      <c r="O445" t="str">
        <f t="shared" si="6"/>
        <v>20-29</v>
      </c>
    </row>
    <row r="446" spans="1:15">
      <c r="A446" t="s">
        <v>475</v>
      </c>
      <c r="B446" t="s">
        <v>26</v>
      </c>
      <c r="C446" t="s">
        <v>22</v>
      </c>
      <c r="D446" t="s">
        <v>18</v>
      </c>
      <c r="E446" s="1">
        <v>45709</v>
      </c>
      <c r="F446" s="3">
        <v>1228</v>
      </c>
      <c r="G446" s="3">
        <v>30</v>
      </c>
      <c r="H446">
        <v>4.46</v>
      </c>
      <c r="I446" s="2">
        <v>39774.639999999999</v>
      </c>
      <c r="J446" s="2">
        <v>58194.71</v>
      </c>
      <c r="K446">
        <v>71.209999999999994</v>
      </c>
      <c r="L446" t="s">
        <v>33</v>
      </c>
      <c r="M446">
        <f>MONTH(Manufacturing[[#This Row],[Production Date]])</f>
        <v>2</v>
      </c>
      <c r="N446">
        <f>YEAR(Manufacturing[[#This Row],[Production Date]])</f>
        <v>2025</v>
      </c>
      <c r="O446" t="str">
        <f t="shared" si="6"/>
        <v>30-39</v>
      </c>
    </row>
    <row r="447" spans="1:15">
      <c r="A447" t="s">
        <v>476</v>
      </c>
      <c r="B447" t="s">
        <v>31</v>
      </c>
      <c r="C447" t="s">
        <v>17</v>
      </c>
      <c r="D447" t="s">
        <v>18</v>
      </c>
      <c r="E447" s="1">
        <v>45645</v>
      </c>
      <c r="F447" s="3">
        <v>1451</v>
      </c>
      <c r="G447" s="3">
        <v>6</v>
      </c>
      <c r="H447">
        <v>0.41</v>
      </c>
      <c r="I447" s="2">
        <v>41262.339999999997</v>
      </c>
      <c r="J447" s="2">
        <v>48883.46</v>
      </c>
      <c r="K447">
        <v>87.9</v>
      </c>
      <c r="L447" t="s">
        <v>24</v>
      </c>
      <c r="M447">
        <f>MONTH(Manufacturing[[#This Row],[Production Date]])</f>
        <v>12</v>
      </c>
      <c r="N447">
        <f>YEAR(Manufacturing[[#This Row],[Production Date]])</f>
        <v>2024</v>
      </c>
      <c r="O447" t="str">
        <f t="shared" si="6"/>
        <v>0-9</v>
      </c>
    </row>
    <row r="448" spans="1:15">
      <c r="A448" t="s">
        <v>477</v>
      </c>
      <c r="B448" t="s">
        <v>26</v>
      </c>
      <c r="C448" t="s">
        <v>22</v>
      </c>
      <c r="D448" t="s">
        <v>27</v>
      </c>
      <c r="E448" s="1">
        <v>45858</v>
      </c>
      <c r="F448" s="3">
        <v>215</v>
      </c>
      <c r="G448" s="3">
        <v>41</v>
      </c>
      <c r="H448">
        <v>9</v>
      </c>
      <c r="I448" s="2">
        <v>13759.11</v>
      </c>
      <c r="J448" s="2">
        <v>17464.78</v>
      </c>
      <c r="K448">
        <v>86.26</v>
      </c>
      <c r="L448" t="s">
        <v>33</v>
      </c>
      <c r="M448">
        <f>MONTH(Manufacturing[[#This Row],[Production Date]])</f>
        <v>7</v>
      </c>
      <c r="N448">
        <f>YEAR(Manufacturing[[#This Row],[Production Date]])</f>
        <v>2025</v>
      </c>
      <c r="O448" t="str">
        <f t="shared" si="6"/>
        <v>40-49</v>
      </c>
    </row>
    <row r="449" spans="1:15">
      <c r="A449" t="s">
        <v>478</v>
      </c>
      <c r="B449" t="s">
        <v>26</v>
      </c>
      <c r="C449" t="s">
        <v>22</v>
      </c>
      <c r="D449" t="s">
        <v>27</v>
      </c>
      <c r="E449" s="1">
        <v>45865</v>
      </c>
      <c r="F449" s="3">
        <v>1896</v>
      </c>
      <c r="G449" s="3">
        <v>38</v>
      </c>
      <c r="H449">
        <v>0.37</v>
      </c>
      <c r="I449" s="2">
        <v>45531.09</v>
      </c>
      <c r="J449" s="2">
        <v>63610.79</v>
      </c>
      <c r="K449">
        <v>74.69</v>
      </c>
      <c r="L449" t="s">
        <v>19</v>
      </c>
      <c r="M449">
        <f>MONTH(Manufacturing[[#This Row],[Production Date]])</f>
        <v>7</v>
      </c>
      <c r="N449">
        <f>YEAR(Manufacturing[[#This Row],[Production Date]])</f>
        <v>2025</v>
      </c>
      <c r="O449" t="str">
        <f t="shared" si="6"/>
        <v>30-39</v>
      </c>
    </row>
    <row r="450" spans="1:15">
      <c r="A450" t="s">
        <v>479</v>
      </c>
      <c r="B450" t="s">
        <v>16</v>
      </c>
      <c r="C450" t="s">
        <v>32</v>
      </c>
      <c r="D450" t="s">
        <v>18</v>
      </c>
      <c r="E450" s="1">
        <v>45901</v>
      </c>
      <c r="F450" s="3">
        <v>2999</v>
      </c>
      <c r="G450" s="3">
        <v>10</v>
      </c>
      <c r="H450">
        <v>2.41</v>
      </c>
      <c r="I450" s="2">
        <v>2004.6</v>
      </c>
      <c r="J450" s="2">
        <v>2316.27</v>
      </c>
      <c r="K450">
        <v>84.72</v>
      </c>
      <c r="L450" t="s">
        <v>24</v>
      </c>
      <c r="M450">
        <f>MONTH(Manufacturing[[#This Row],[Production Date]])</f>
        <v>9</v>
      </c>
      <c r="N450">
        <f>YEAR(Manufacturing[[#This Row],[Production Date]])</f>
        <v>2025</v>
      </c>
      <c r="O450" t="str">
        <f t="shared" si="6"/>
        <v>10-19</v>
      </c>
    </row>
    <row r="451" spans="1:15">
      <c r="A451" t="s">
        <v>480</v>
      </c>
      <c r="B451" t="s">
        <v>16</v>
      </c>
      <c r="C451" t="s">
        <v>22</v>
      </c>
      <c r="D451" t="s">
        <v>27</v>
      </c>
      <c r="E451" s="1">
        <v>45809</v>
      </c>
      <c r="F451" s="3">
        <v>2702</v>
      </c>
      <c r="G451" s="3">
        <v>19</v>
      </c>
      <c r="H451">
        <v>7.43</v>
      </c>
      <c r="I451" s="2">
        <v>24466.95</v>
      </c>
      <c r="J451" s="2">
        <v>29800.880000000001</v>
      </c>
      <c r="K451">
        <v>85.73</v>
      </c>
      <c r="L451" t="s">
        <v>24</v>
      </c>
      <c r="M451">
        <f>MONTH(Manufacturing[[#This Row],[Production Date]])</f>
        <v>6</v>
      </c>
      <c r="N451">
        <f>YEAR(Manufacturing[[#This Row],[Production Date]])</f>
        <v>2025</v>
      </c>
      <c r="O451" t="str">
        <f t="shared" ref="O451:O501" si="7">IF(G451&lt;=9,"0-9",IF(G451&lt;=19,"10-19",IF(G451&lt;=29,"20-29",IF(G451&lt;=39,"30-39",IF(G451&lt;=49,"40-49","50+")))))</f>
        <v>10-19</v>
      </c>
    </row>
    <row r="452" spans="1:15">
      <c r="A452" t="s">
        <v>481</v>
      </c>
      <c r="B452" t="s">
        <v>16</v>
      </c>
      <c r="C452" t="s">
        <v>22</v>
      </c>
      <c r="D452" t="s">
        <v>23</v>
      </c>
      <c r="E452" s="1">
        <v>45920</v>
      </c>
      <c r="F452" s="3">
        <v>3601</v>
      </c>
      <c r="G452" s="3">
        <v>5</v>
      </c>
      <c r="H452">
        <v>4.99</v>
      </c>
      <c r="I452" s="2">
        <v>18231.21</v>
      </c>
      <c r="J452" s="2">
        <v>22496.55</v>
      </c>
      <c r="K452">
        <v>76.790000000000006</v>
      </c>
      <c r="L452" t="s">
        <v>24</v>
      </c>
      <c r="M452">
        <f>MONTH(Manufacturing[[#This Row],[Production Date]])</f>
        <v>9</v>
      </c>
      <c r="N452">
        <f>YEAR(Manufacturing[[#This Row],[Production Date]])</f>
        <v>2025</v>
      </c>
      <c r="O452" t="str">
        <f t="shared" si="7"/>
        <v>0-9</v>
      </c>
    </row>
    <row r="453" spans="1:15">
      <c r="A453" t="s">
        <v>482</v>
      </c>
      <c r="B453" t="s">
        <v>21</v>
      </c>
      <c r="C453" t="s">
        <v>32</v>
      </c>
      <c r="D453" t="s">
        <v>23</v>
      </c>
      <c r="E453" s="1">
        <v>45845</v>
      </c>
      <c r="F453" s="3">
        <v>4742</v>
      </c>
      <c r="G453" s="3">
        <v>5</v>
      </c>
      <c r="H453">
        <v>1.24</v>
      </c>
      <c r="I453" s="2">
        <v>34077.599999999999</v>
      </c>
      <c r="J453" s="2">
        <v>49032.1</v>
      </c>
      <c r="K453">
        <v>98.89</v>
      </c>
      <c r="L453" t="s">
        <v>24</v>
      </c>
      <c r="M453">
        <f>MONTH(Manufacturing[[#This Row],[Production Date]])</f>
        <v>7</v>
      </c>
      <c r="N453">
        <f>YEAR(Manufacturing[[#This Row],[Production Date]])</f>
        <v>2025</v>
      </c>
      <c r="O453" t="str">
        <f t="shared" si="7"/>
        <v>0-9</v>
      </c>
    </row>
    <row r="454" spans="1:15">
      <c r="A454" t="s">
        <v>483</v>
      </c>
      <c r="B454" t="s">
        <v>21</v>
      </c>
      <c r="C454" t="s">
        <v>22</v>
      </c>
      <c r="D454" t="s">
        <v>27</v>
      </c>
      <c r="E454" s="1">
        <v>45880</v>
      </c>
      <c r="F454" s="3">
        <v>1157</v>
      </c>
      <c r="G454" s="3">
        <v>50</v>
      </c>
      <c r="H454">
        <v>9.7100000000000009</v>
      </c>
      <c r="I454" s="2">
        <v>45300.46</v>
      </c>
      <c r="J454" s="2">
        <v>60616.9</v>
      </c>
      <c r="K454">
        <v>72.760000000000005</v>
      </c>
      <c r="L454" t="s">
        <v>19</v>
      </c>
      <c r="M454">
        <f>MONTH(Manufacturing[[#This Row],[Production Date]])</f>
        <v>8</v>
      </c>
      <c r="N454">
        <f>YEAR(Manufacturing[[#This Row],[Production Date]])</f>
        <v>2025</v>
      </c>
      <c r="O454" t="str">
        <f t="shared" si="7"/>
        <v>50+</v>
      </c>
    </row>
    <row r="455" spans="1:15">
      <c r="A455" t="s">
        <v>484</v>
      </c>
      <c r="B455" t="s">
        <v>36</v>
      </c>
      <c r="C455" t="s">
        <v>17</v>
      </c>
      <c r="D455" t="s">
        <v>23</v>
      </c>
      <c r="E455" s="1">
        <v>45759</v>
      </c>
      <c r="F455" s="3">
        <v>3309</v>
      </c>
      <c r="G455" s="3">
        <v>10</v>
      </c>
      <c r="H455">
        <v>2.75</v>
      </c>
      <c r="I455" s="2">
        <v>32226.21</v>
      </c>
      <c r="J455" s="2">
        <v>38124.14</v>
      </c>
      <c r="K455">
        <v>85.94</v>
      </c>
      <c r="L455" t="s">
        <v>37</v>
      </c>
      <c r="M455">
        <f>MONTH(Manufacturing[[#This Row],[Production Date]])</f>
        <v>4</v>
      </c>
      <c r="N455">
        <f>YEAR(Manufacturing[[#This Row],[Production Date]])</f>
        <v>2025</v>
      </c>
      <c r="O455" t="str">
        <f t="shared" si="7"/>
        <v>10-19</v>
      </c>
    </row>
    <row r="456" spans="1:15">
      <c r="A456" t="s">
        <v>485</v>
      </c>
      <c r="B456" t="s">
        <v>36</v>
      </c>
      <c r="C456" t="s">
        <v>22</v>
      </c>
      <c r="D456" t="s">
        <v>18</v>
      </c>
      <c r="E456" s="1">
        <v>45846</v>
      </c>
      <c r="F456" s="3">
        <v>3575</v>
      </c>
      <c r="G456" s="3">
        <v>36</v>
      </c>
      <c r="H456">
        <v>5.94</v>
      </c>
      <c r="I456" s="2">
        <v>33220.39</v>
      </c>
      <c r="J456" s="2">
        <v>44953.04</v>
      </c>
      <c r="K456">
        <v>90.82</v>
      </c>
      <c r="L456" t="s">
        <v>33</v>
      </c>
      <c r="M456">
        <f>MONTH(Manufacturing[[#This Row],[Production Date]])</f>
        <v>7</v>
      </c>
      <c r="N456">
        <f>YEAR(Manufacturing[[#This Row],[Production Date]])</f>
        <v>2025</v>
      </c>
      <c r="O456" t="str">
        <f t="shared" si="7"/>
        <v>30-39</v>
      </c>
    </row>
    <row r="457" spans="1:15">
      <c r="A457" t="s">
        <v>486</v>
      </c>
      <c r="B457" t="s">
        <v>21</v>
      </c>
      <c r="C457" t="s">
        <v>22</v>
      </c>
      <c r="D457" t="s">
        <v>18</v>
      </c>
      <c r="E457" s="1">
        <v>45736</v>
      </c>
      <c r="F457" s="3">
        <v>2983</v>
      </c>
      <c r="G457" s="3">
        <v>12</v>
      </c>
      <c r="H457">
        <v>7.94</v>
      </c>
      <c r="I457" s="2">
        <v>9262.5</v>
      </c>
      <c r="J457" s="2">
        <v>13256.67</v>
      </c>
      <c r="K457">
        <v>79.430000000000007</v>
      </c>
      <c r="L457" t="s">
        <v>33</v>
      </c>
      <c r="M457">
        <f>MONTH(Manufacturing[[#This Row],[Production Date]])</f>
        <v>3</v>
      </c>
      <c r="N457">
        <f>YEAR(Manufacturing[[#This Row],[Production Date]])</f>
        <v>2025</v>
      </c>
      <c r="O457" t="str">
        <f t="shared" si="7"/>
        <v>10-19</v>
      </c>
    </row>
    <row r="458" spans="1:15">
      <c r="A458" t="s">
        <v>487</v>
      </c>
      <c r="B458" t="s">
        <v>16</v>
      </c>
      <c r="C458" t="s">
        <v>22</v>
      </c>
      <c r="D458" t="s">
        <v>18</v>
      </c>
      <c r="E458" s="1">
        <v>45629</v>
      </c>
      <c r="F458" s="3">
        <v>3813</v>
      </c>
      <c r="G458" s="3">
        <v>45</v>
      </c>
      <c r="H458">
        <v>2.08</v>
      </c>
      <c r="I458" s="2">
        <v>33673.67</v>
      </c>
      <c r="J458" s="2">
        <v>37494.120000000003</v>
      </c>
      <c r="K458">
        <v>91.95</v>
      </c>
      <c r="L458" t="s">
        <v>37</v>
      </c>
      <c r="M458">
        <f>MONTH(Manufacturing[[#This Row],[Production Date]])</f>
        <v>12</v>
      </c>
      <c r="N458">
        <f>YEAR(Manufacturing[[#This Row],[Production Date]])</f>
        <v>2024</v>
      </c>
      <c r="O458" t="str">
        <f t="shared" si="7"/>
        <v>40-49</v>
      </c>
    </row>
    <row r="459" spans="1:15">
      <c r="A459" t="s">
        <v>488</v>
      </c>
      <c r="B459" t="s">
        <v>36</v>
      </c>
      <c r="C459" t="s">
        <v>22</v>
      </c>
      <c r="D459" t="s">
        <v>23</v>
      </c>
      <c r="E459" s="1">
        <v>45649</v>
      </c>
      <c r="F459" s="3">
        <v>3297</v>
      </c>
      <c r="G459" s="3">
        <v>23</v>
      </c>
      <c r="H459">
        <v>7.65</v>
      </c>
      <c r="I459" s="2">
        <v>26453.05</v>
      </c>
      <c r="J459" s="2">
        <v>37107.230000000003</v>
      </c>
      <c r="K459">
        <v>88.28</v>
      </c>
      <c r="L459" t="s">
        <v>29</v>
      </c>
      <c r="M459">
        <f>MONTH(Manufacturing[[#This Row],[Production Date]])</f>
        <v>12</v>
      </c>
      <c r="N459">
        <f>YEAR(Manufacturing[[#This Row],[Production Date]])</f>
        <v>2024</v>
      </c>
      <c r="O459" t="str">
        <f t="shared" si="7"/>
        <v>20-29</v>
      </c>
    </row>
    <row r="460" spans="1:15">
      <c r="A460" t="s">
        <v>489</v>
      </c>
      <c r="B460" t="s">
        <v>36</v>
      </c>
      <c r="C460" t="s">
        <v>17</v>
      </c>
      <c r="D460" t="s">
        <v>23</v>
      </c>
      <c r="E460" s="1">
        <v>45735</v>
      </c>
      <c r="F460" s="3">
        <v>3900</v>
      </c>
      <c r="G460" s="3">
        <v>20</v>
      </c>
      <c r="H460">
        <v>0.01</v>
      </c>
      <c r="I460" s="2">
        <v>28097.67</v>
      </c>
      <c r="J460" s="2">
        <v>37582.29</v>
      </c>
      <c r="K460">
        <v>82.59</v>
      </c>
      <c r="L460" t="s">
        <v>33</v>
      </c>
      <c r="M460">
        <f>MONTH(Manufacturing[[#This Row],[Production Date]])</f>
        <v>3</v>
      </c>
      <c r="N460">
        <f>YEAR(Manufacturing[[#This Row],[Production Date]])</f>
        <v>2025</v>
      </c>
      <c r="O460" t="str">
        <f t="shared" si="7"/>
        <v>20-29</v>
      </c>
    </row>
    <row r="461" spans="1:15">
      <c r="A461" t="s">
        <v>490</v>
      </c>
      <c r="B461" t="s">
        <v>31</v>
      </c>
      <c r="C461" t="s">
        <v>22</v>
      </c>
      <c r="D461" t="s">
        <v>27</v>
      </c>
      <c r="E461" s="1">
        <v>45750</v>
      </c>
      <c r="F461" s="3">
        <v>3948</v>
      </c>
      <c r="G461" s="3">
        <v>27</v>
      </c>
      <c r="H461">
        <v>7.0000000000000007E-2</v>
      </c>
      <c r="I461" s="2">
        <v>19578.75</v>
      </c>
      <c r="J461" s="2">
        <v>26584.18</v>
      </c>
      <c r="K461">
        <v>96.46</v>
      </c>
      <c r="L461" t="s">
        <v>33</v>
      </c>
      <c r="M461">
        <f>MONTH(Manufacturing[[#This Row],[Production Date]])</f>
        <v>4</v>
      </c>
      <c r="N461">
        <f>YEAR(Manufacturing[[#This Row],[Production Date]])</f>
        <v>2025</v>
      </c>
      <c r="O461" t="str">
        <f t="shared" si="7"/>
        <v>20-29</v>
      </c>
    </row>
    <row r="462" spans="1:15">
      <c r="A462" t="s">
        <v>491</v>
      </c>
      <c r="B462" t="s">
        <v>26</v>
      </c>
      <c r="C462" t="s">
        <v>32</v>
      </c>
      <c r="D462" t="s">
        <v>23</v>
      </c>
      <c r="E462" s="1">
        <v>45677</v>
      </c>
      <c r="F462" s="3">
        <v>192</v>
      </c>
      <c r="G462" s="3">
        <v>17</v>
      </c>
      <c r="H462">
        <v>2.64</v>
      </c>
      <c r="I462" s="2">
        <v>24159.61</v>
      </c>
      <c r="J462" s="2">
        <v>30019.16</v>
      </c>
      <c r="K462">
        <v>78.42</v>
      </c>
      <c r="L462" t="s">
        <v>33</v>
      </c>
      <c r="M462">
        <f>MONTH(Manufacturing[[#This Row],[Production Date]])</f>
        <v>1</v>
      </c>
      <c r="N462">
        <f>YEAR(Manufacturing[[#This Row],[Production Date]])</f>
        <v>2025</v>
      </c>
      <c r="O462" t="str">
        <f t="shared" si="7"/>
        <v>10-19</v>
      </c>
    </row>
    <row r="463" spans="1:15">
      <c r="A463" t="s">
        <v>492</v>
      </c>
      <c r="B463" t="s">
        <v>31</v>
      </c>
      <c r="C463" t="s">
        <v>32</v>
      </c>
      <c r="D463" t="s">
        <v>18</v>
      </c>
      <c r="E463" s="1">
        <v>45906</v>
      </c>
      <c r="F463" s="3">
        <v>2962</v>
      </c>
      <c r="G463" s="3">
        <v>22</v>
      </c>
      <c r="H463">
        <v>0.01</v>
      </c>
      <c r="I463" s="2">
        <v>36420.36</v>
      </c>
      <c r="J463" s="2">
        <v>49885.83</v>
      </c>
      <c r="K463">
        <v>80.430000000000007</v>
      </c>
      <c r="L463" t="s">
        <v>33</v>
      </c>
      <c r="M463">
        <f>MONTH(Manufacturing[[#This Row],[Production Date]])</f>
        <v>9</v>
      </c>
      <c r="N463">
        <f>YEAR(Manufacturing[[#This Row],[Production Date]])</f>
        <v>2025</v>
      </c>
      <c r="O463" t="str">
        <f t="shared" si="7"/>
        <v>20-29</v>
      </c>
    </row>
    <row r="464" spans="1:15">
      <c r="A464" t="s">
        <v>493</v>
      </c>
      <c r="B464" t="s">
        <v>26</v>
      </c>
      <c r="C464" t="s">
        <v>17</v>
      </c>
      <c r="D464" t="s">
        <v>23</v>
      </c>
      <c r="E464" s="1">
        <v>45883</v>
      </c>
      <c r="F464" s="3">
        <v>661</v>
      </c>
      <c r="G464" s="3">
        <v>6</v>
      </c>
      <c r="H464">
        <v>0.56000000000000005</v>
      </c>
      <c r="I464" s="2">
        <v>49664.38</v>
      </c>
      <c r="J464" s="2">
        <v>71316.039999999994</v>
      </c>
      <c r="K464">
        <v>84.58</v>
      </c>
      <c r="L464" t="s">
        <v>29</v>
      </c>
      <c r="M464">
        <f>MONTH(Manufacturing[[#This Row],[Production Date]])</f>
        <v>8</v>
      </c>
      <c r="N464">
        <f>YEAR(Manufacturing[[#This Row],[Production Date]])</f>
        <v>2025</v>
      </c>
      <c r="O464" t="str">
        <f t="shared" si="7"/>
        <v>0-9</v>
      </c>
    </row>
    <row r="465" spans="1:15">
      <c r="A465" t="s">
        <v>494</v>
      </c>
      <c r="B465" t="s">
        <v>21</v>
      </c>
      <c r="C465" t="s">
        <v>22</v>
      </c>
      <c r="D465" t="s">
        <v>27</v>
      </c>
      <c r="E465" s="1">
        <v>45906</v>
      </c>
      <c r="F465" s="3">
        <v>4000</v>
      </c>
      <c r="G465" s="3">
        <v>13</v>
      </c>
      <c r="H465">
        <v>2.5299999999999998</v>
      </c>
      <c r="I465" s="2">
        <v>25996.13</v>
      </c>
      <c r="J465" s="2">
        <v>37009.26</v>
      </c>
      <c r="K465">
        <v>85.05</v>
      </c>
      <c r="L465" t="s">
        <v>37</v>
      </c>
      <c r="M465">
        <f>MONTH(Manufacturing[[#This Row],[Production Date]])</f>
        <v>9</v>
      </c>
      <c r="N465">
        <f>YEAR(Manufacturing[[#This Row],[Production Date]])</f>
        <v>2025</v>
      </c>
      <c r="O465" t="str">
        <f t="shared" si="7"/>
        <v>10-19</v>
      </c>
    </row>
    <row r="466" spans="1:15">
      <c r="A466" t="s">
        <v>495</v>
      </c>
      <c r="B466" t="s">
        <v>21</v>
      </c>
      <c r="C466" t="s">
        <v>32</v>
      </c>
      <c r="D466" t="s">
        <v>18</v>
      </c>
      <c r="E466" s="1">
        <v>45602</v>
      </c>
      <c r="F466" s="3">
        <v>4421</v>
      </c>
      <c r="G466" s="3">
        <v>16</v>
      </c>
      <c r="H466">
        <v>0.25</v>
      </c>
      <c r="I466" s="2">
        <v>27402.959999999999</v>
      </c>
      <c r="J466" s="2">
        <v>37187.71</v>
      </c>
      <c r="K466">
        <v>88.39</v>
      </c>
      <c r="L466" t="s">
        <v>33</v>
      </c>
      <c r="M466">
        <f>MONTH(Manufacturing[[#This Row],[Production Date]])</f>
        <v>11</v>
      </c>
      <c r="N466">
        <f>YEAR(Manufacturing[[#This Row],[Production Date]])</f>
        <v>2024</v>
      </c>
      <c r="O466" t="str">
        <f t="shared" si="7"/>
        <v>10-19</v>
      </c>
    </row>
    <row r="467" spans="1:15">
      <c r="A467" t="s">
        <v>496</v>
      </c>
      <c r="B467" t="s">
        <v>21</v>
      </c>
      <c r="C467" t="s">
        <v>17</v>
      </c>
      <c r="D467" t="s">
        <v>23</v>
      </c>
      <c r="E467" s="1">
        <v>45612</v>
      </c>
      <c r="F467" s="3">
        <v>2799</v>
      </c>
      <c r="G467" s="3">
        <v>2</v>
      </c>
      <c r="H467">
        <v>2.36</v>
      </c>
      <c r="I467" s="2">
        <v>36185.599999999999</v>
      </c>
      <c r="J467" s="2">
        <v>41101.9</v>
      </c>
      <c r="K467">
        <v>87.73</v>
      </c>
      <c r="L467" t="s">
        <v>19</v>
      </c>
      <c r="M467">
        <f>MONTH(Manufacturing[[#This Row],[Production Date]])</f>
        <v>11</v>
      </c>
      <c r="N467">
        <f>YEAR(Manufacturing[[#This Row],[Production Date]])</f>
        <v>2024</v>
      </c>
      <c r="O467" t="str">
        <f t="shared" si="7"/>
        <v>0-9</v>
      </c>
    </row>
    <row r="468" spans="1:15">
      <c r="A468" t="s">
        <v>497</v>
      </c>
      <c r="B468" t="s">
        <v>36</v>
      </c>
      <c r="C468" t="s">
        <v>17</v>
      </c>
      <c r="D468" t="s">
        <v>23</v>
      </c>
      <c r="E468" s="1">
        <v>45703</v>
      </c>
      <c r="F468" s="3">
        <v>4687</v>
      </c>
      <c r="G468" s="3">
        <v>29</v>
      </c>
      <c r="H468">
        <v>8.8699999999999992</v>
      </c>
      <c r="I468" s="2">
        <v>32279.08</v>
      </c>
      <c r="J468" s="2">
        <v>40170.49</v>
      </c>
      <c r="K468">
        <v>90.67</v>
      </c>
      <c r="L468" t="s">
        <v>19</v>
      </c>
      <c r="M468">
        <f>MONTH(Manufacturing[[#This Row],[Production Date]])</f>
        <v>2</v>
      </c>
      <c r="N468">
        <f>YEAR(Manufacturing[[#This Row],[Production Date]])</f>
        <v>2025</v>
      </c>
      <c r="O468" t="str">
        <f t="shared" si="7"/>
        <v>20-29</v>
      </c>
    </row>
    <row r="469" spans="1:15">
      <c r="A469" t="s">
        <v>498</v>
      </c>
      <c r="B469" t="s">
        <v>26</v>
      </c>
      <c r="C469" t="s">
        <v>32</v>
      </c>
      <c r="D469" t="s">
        <v>18</v>
      </c>
      <c r="E469" s="1">
        <v>45744</v>
      </c>
      <c r="F469" s="3">
        <v>240</v>
      </c>
      <c r="G469" s="3">
        <v>50</v>
      </c>
      <c r="H469">
        <v>0.72</v>
      </c>
      <c r="I469" s="2">
        <v>35152.559999999998</v>
      </c>
      <c r="J469" s="2">
        <v>42268.43</v>
      </c>
      <c r="K469">
        <v>74.91</v>
      </c>
      <c r="L469" t="s">
        <v>37</v>
      </c>
      <c r="M469">
        <f>MONTH(Manufacturing[[#This Row],[Production Date]])</f>
        <v>3</v>
      </c>
      <c r="N469">
        <f>YEAR(Manufacturing[[#This Row],[Production Date]])</f>
        <v>2025</v>
      </c>
      <c r="O469" t="str">
        <f t="shared" si="7"/>
        <v>50+</v>
      </c>
    </row>
    <row r="470" spans="1:15">
      <c r="A470" t="s">
        <v>499</v>
      </c>
      <c r="B470" t="s">
        <v>16</v>
      </c>
      <c r="C470" t="s">
        <v>32</v>
      </c>
      <c r="D470" t="s">
        <v>23</v>
      </c>
      <c r="E470" s="1">
        <v>45783</v>
      </c>
      <c r="F470" s="3">
        <v>3993</v>
      </c>
      <c r="G470" s="3">
        <v>32</v>
      </c>
      <c r="H470">
        <v>2.13</v>
      </c>
      <c r="I470" s="2">
        <v>4367.3900000000003</v>
      </c>
      <c r="J470" s="2">
        <v>6081.14</v>
      </c>
      <c r="K470">
        <v>80.25</v>
      </c>
      <c r="L470" t="s">
        <v>37</v>
      </c>
      <c r="M470">
        <f>MONTH(Manufacturing[[#This Row],[Production Date]])</f>
        <v>5</v>
      </c>
      <c r="N470">
        <f>YEAR(Manufacturing[[#This Row],[Production Date]])</f>
        <v>2025</v>
      </c>
      <c r="O470" t="str">
        <f t="shared" si="7"/>
        <v>30-39</v>
      </c>
    </row>
    <row r="471" spans="1:15">
      <c r="A471" t="s">
        <v>500</v>
      </c>
      <c r="B471" t="s">
        <v>16</v>
      </c>
      <c r="C471" t="s">
        <v>17</v>
      </c>
      <c r="D471" t="s">
        <v>18</v>
      </c>
      <c r="E471" s="1">
        <v>45781</v>
      </c>
      <c r="F471" s="3">
        <v>1432</v>
      </c>
      <c r="G471" s="3">
        <v>4</v>
      </c>
      <c r="H471">
        <v>7.31</v>
      </c>
      <c r="I471" s="2">
        <v>22235.040000000001</v>
      </c>
      <c r="J471" s="2">
        <v>27135.06</v>
      </c>
      <c r="K471">
        <v>75.959999999999994</v>
      </c>
      <c r="L471" t="s">
        <v>29</v>
      </c>
      <c r="M471">
        <f>MONTH(Manufacturing[[#This Row],[Production Date]])</f>
        <v>5</v>
      </c>
      <c r="N471">
        <f>YEAR(Manufacturing[[#This Row],[Production Date]])</f>
        <v>2025</v>
      </c>
      <c r="O471" t="str">
        <f t="shared" si="7"/>
        <v>0-9</v>
      </c>
    </row>
    <row r="472" spans="1:15">
      <c r="A472" t="s">
        <v>501</v>
      </c>
      <c r="B472" t="s">
        <v>31</v>
      </c>
      <c r="C472" t="s">
        <v>22</v>
      </c>
      <c r="D472" t="s">
        <v>18</v>
      </c>
      <c r="E472" s="1">
        <v>45829</v>
      </c>
      <c r="F472" s="3">
        <v>428</v>
      </c>
      <c r="G472" s="3">
        <v>39</v>
      </c>
      <c r="H472">
        <v>5.43</v>
      </c>
      <c r="I472" s="2">
        <v>31115.58</v>
      </c>
      <c r="J472" s="2">
        <v>40624.1</v>
      </c>
      <c r="K472">
        <v>75.72</v>
      </c>
      <c r="L472" t="s">
        <v>24</v>
      </c>
      <c r="M472">
        <f>MONTH(Manufacturing[[#This Row],[Production Date]])</f>
        <v>6</v>
      </c>
      <c r="N472">
        <f>YEAR(Manufacturing[[#This Row],[Production Date]])</f>
        <v>2025</v>
      </c>
      <c r="O472" t="str">
        <f t="shared" si="7"/>
        <v>30-39</v>
      </c>
    </row>
    <row r="473" spans="1:15">
      <c r="A473" t="s">
        <v>502</v>
      </c>
      <c r="B473" t="s">
        <v>36</v>
      </c>
      <c r="C473" t="s">
        <v>32</v>
      </c>
      <c r="D473" t="s">
        <v>23</v>
      </c>
      <c r="E473" s="1">
        <v>45619</v>
      </c>
      <c r="F473" s="3">
        <v>4091</v>
      </c>
      <c r="G473" s="3">
        <v>26</v>
      </c>
      <c r="H473">
        <v>7.6</v>
      </c>
      <c r="I473" s="2">
        <v>18653.84</v>
      </c>
      <c r="J473" s="2">
        <v>26531.1</v>
      </c>
      <c r="K473">
        <v>79.849999999999994</v>
      </c>
      <c r="L473" t="s">
        <v>19</v>
      </c>
      <c r="M473">
        <f>MONTH(Manufacturing[[#This Row],[Production Date]])</f>
        <v>11</v>
      </c>
      <c r="N473">
        <f>YEAR(Manufacturing[[#This Row],[Production Date]])</f>
        <v>2024</v>
      </c>
      <c r="O473" t="str">
        <f t="shared" si="7"/>
        <v>20-29</v>
      </c>
    </row>
    <row r="474" spans="1:15">
      <c r="A474" t="s">
        <v>503</v>
      </c>
      <c r="B474" t="s">
        <v>31</v>
      </c>
      <c r="C474" t="s">
        <v>17</v>
      </c>
      <c r="D474" t="s">
        <v>23</v>
      </c>
      <c r="E474" s="1">
        <v>45636</v>
      </c>
      <c r="F474" s="3">
        <v>3043</v>
      </c>
      <c r="G474" s="3">
        <v>32</v>
      </c>
      <c r="H474">
        <v>3.54</v>
      </c>
      <c r="I474" s="2">
        <v>45364.09</v>
      </c>
      <c r="J474" s="2">
        <v>54248.44</v>
      </c>
      <c r="K474">
        <v>82.71</v>
      </c>
      <c r="L474" t="s">
        <v>37</v>
      </c>
      <c r="M474">
        <f>MONTH(Manufacturing[[#This Row],[Production Date]])</f>
        <v>12</v>
      </c>
      <c r="N474">
        <f>YEAR(Manufacturing[[#This Row],[Production Date]])</f>
        <v>2024</v>
      </c>
      <c r="O474" t="str">
        <f t="shared" si="7"/>
        <v>30-39</v>
      </c>
    </row>
    <row r="475" spans="1:15">
      <c r="A475" t="s">
        <v>504</v>
      </c>
      <c r="B475" t="s">
        <v>16</v>
      </c>
      <c r="C475" t="s">
        <v>17</v>
      </c>
      <c r="D475" t="s">
        <v>18</v>
      </c>
      <c r="E475" s="1">
        <v>45823</v>
      </c>
      <c r="F475" s="3">
        <v>3131</v>
      </c>
      <c r="G475" s="3">
        <v>22</v>
      </c>
      <c r="H475">
        <v>7.12</v>
      </c>
      <c r="I475" s="2">
        <v>24676.89</v>
      </c>
      <c r="J475" s="2">
        <v>28722.21</v>
      </c>
      <c r="K475">
        <v>92.6</v>
      </c>
      <c r="L475" t="s">
        <v>33</v>
      </c>
      <c r="M475">
        <f>MONTH(Manufacturing[[#This Row],[Production Date]])</f>
        <v>6</v>
      </c>
      <c r="N475">
        <f>YEAR(Manufacturing[[#This Row],[Production Date]])</f>
        <v>2025</v>
      </c>
      <c r="O475" t="str">
        <f t="shared" si="7"/>
        <v>20-29</v>
      </c>
    </row>
    <row r="476" spans="1:15">
      <c r="A476" t="s">
        <v>505</v>
      </c>
      <c r="B476" t="s">
        <v>31</v>
      </c>
      <c r="C476" t="s">
        <v>17</v>
      </c>
      <c r="D476" t="s">
        <v>23</v>
      </c>
      <c r="E476" s="1">
        <v>45915</v>
      </c>
      <c r="F476" s="3">
        <v>1825</v>
      </c>
      <c r="G476" s="3">
        <v>28</v>
      </c>
      <c r="H476">
        <v>3.81</v>
      </c>
      <c r="I476" s="2">
        <v>8684.6</v>
      </c>
      <c r="J476" s="2">
        <v>12052.57</v>
      </c>
      <c r="K476">
        <v>89.46</v>
      </c>
      <c r="L476" t="s">
        <v>19</v>
      </c>
      <c r="M476">
        <f>MONTH(Manufacturing[[#This Row],[Production Date]])</f>
        <v>9</v>
      </c>
      <c r="N476">
        <f>YEAR(Manufacturing[[#This Row],[Production Date]])</f>
        <v>2025</v>
      </c>
      <c r="O476" t="str">
        <f t="shared" si="7"/>
        <v>20-29</v>
      </c>
    </row>
    <row r="477" spans="1:15">
      <c r="A477" t="s">
        <v>506</v>
      </c>
      <c r="B477" t="s">
        <v>31</v>
      </c>
      <c r="C477" t="s">
        <v>32</v>
      </c>
      <c r="D477" t="s">
        <v>23</v>
      </c>
      <c r="E477" s="1">
        <v>45657</v>
      </c>
      <c r="F477" s="3">
        <v>2911</v>
      </c>
      <c r="G477" s="3">
        <v>19</v>
      </c>
      <c r="H477">
        <v>2.41</v>
      </c>
      <c r="I477" s="2">
        <v>32235.98</v>
      </c>
      <c r="J477" s="2">
        <v>44329.919999999998</v>
      </c>
      <c r="K477">
        <v>71.87</v>
      </c>
      <c r="L477" t="s">
        <v>29</v>
      </c>
      <c r="M477">
        <f>MONTH(Manufacturing[[#This Row],[Production Date]])</f>
        <v>12</v>
      </c>
      <c r="N477">
        <f>YEAR(Manufacturing[[#This Row],[Production Date]])</f>
        <v>2024</v>
      </c>
      <c r="O477" t="str">
        <f t="shared" si="7"/>
        <v>10-19</v>
      </c>
    </row>
    <row r="478" spans="1:15">
      <c r="A478" t="s">
        <v>507</v>
      </c>
      <c r="B478" t="s">
        <v>16</v>
      </c>
      <c r="C478" t="s">
        <v>17</v>
      </c>
      <c r="D478" t="s">
        <v>27</v>
      </c>
      <c r="E478" s="1">
        <v>45908</v>
      </c>
      <c r="F478" s="3">
        <v>2443</v>
      </c>
      <c r="G478" s="3">
        <v>14</v>
      </c>
      <c r="H478">
        <v>2.0099999999999998</v>
      </c>
      <c r="I478" s="2">
        <v>37132.080000000002</v>
      </c>
      <c r="J478" s="2">
        <v>40895.69</v>
      </c>
      <c r="K478">
        <v>88.35</v>
      </c>
      <c r="L478" t="s">
        <v>24</v>
      </c>
      <c r="M478">
        <f>MONTH(Manufacturing[[#This Row],[Production Date]])</f>
        <v>9</v>
      </c>
      <c r="N478">
        <f>YEAR(Manufacturing[[#This Row],[Production Date]])</f>
        <v>2025</v>
      </c>
      <c r="O478" t="str">
        <f t="shared" si="7"/>
        <v>10-19</v>
      </c>
    </row>
    <row r="479" spans="1:15">
      <c r="A479" t="s">
        <v>508</v>
      </c>
      <c r="B479" t="s">
        <v>16</v>
      </c>
      <c r="C479" t="s">
        <v>32</v>
      </c>
      <c r="D479" t="s">
        <v>27</v>
      </c>
      <c r="E479" s="1">
        <v>45648</v>
      </c>
      <c r="F479" s="3">
        <v>2594</v>
      </c>
      <c r="G479" s="3">
        <v>17</v>
      </c>
      <c r="H479">
        <v>1.6</v>
      </c>
      <c r="I479" s="2">
        <v>42173.71</v>
      </c>
      <c r="J479" s="2">
        <v>56114.01</v>
      </c>
      <c r="K479">
        <v>95.8</v>
      </c>
      <c r="L479" t="s">
        <v>29</v>
      </c>
      <c r="M479">
        <f>MONTH(Manufacturing[[#This Row],[Production Date]])</f>
        <v>12</v>
      </c>
      <c r="N479">
        <f>YEAR(Manufacturing[[#This Row],[Production Date]])</f>
        <v>2024</v>
      </c>
      <c r="O479" t="str">
        <f t="shared" si="7"/>
        <v>10-19</v>
      </c>
    </row>
    <row r="480" spans="1:15">
      <c r="A480" t="s">
        <v>509</v>
      </c>
      <c r="B480" t="s">
        <v>16</v>
      </c>
      <c r="C480" t="s">
        <v>32</v>
      </c>
      <c r="D480" t="s">
        <v>18</v>
      </c>
      <c r="E480" s="1">
        <v>45914</v>
      </c>
      <c r="F480" s="3">
        <v>2693</v>
      </c>
      <c r="G480" s="3">
        <v>21</v>
      </c>
      <c r="H480">
        <v>1.72</v>
      </c>
      <c r="I480" s="2">
        <v>14955.01</v>
      </c>
      <c r="J480" s="2">
        <v>17897.439999999999</v>
      </c>
      <c r="K480">
        <v>78.34</v>
      </c>
      <c r="L480" t="s">
        <v>24</v>
      </c>
      <c r="M480">
        <f>MONTH(Manufacturing[[#This Row],[Production Date]])</f>
        <v>9</v>
      </c>
      <c r="N480">
        <f>YEAR(Manufacturing[[#This Row],[Production Date]])</f>
        <v>2025</v>
      </c>
      <c r="O480" t="str">
        <f t="shared" si="7"/>
        <v>20-29</v>
      </c>
    </row>
    <row r="481" spans="1:15">
      <c r="A481" t="s">
        <v>510</v>
      </c>
      <c r="B481" t="s">
        <v>26</v>
      </c>
      <c r="C481" t="s">
        <v>17</v>
      </c>
      <c r="D481" t="s">
        <v>23</v>
      </c>
      <c r="E481" s="1">
        <v>45786</v>
      </c>
      <c r="F481" s="3">
        <v>2270</v>
      </c>
      <c r="G481" s="3">
        <v>43</v>
      </c>
      <c r="H481">
        <v>5.37</v>
      </c>
      <c r="I481" s="2">
        <v>22161.89</v>
      </c>
      <c r="J481" s="2">
        <v>30379.7</v>
      </c>
      <c r="K481">
        <v>96.2</v>
      </c>
      <c r="L481" t="s">
        <v>33</v>
      </c>
      <c r="M481">
        <f>MONTH(Manufacturing[[#This Row],[Production Date]])</f>
        <v>5</v>
      </c>
      <c r="N481">
        <f>YEAR(Manufacturing[[#This Row],[Production Date]])</f>
        <v>2025</v>
      </c>
      <c r="O481" t="str">
        <f t="shared" si="7"/>
        <v>40-49</v>
      </c>
    </row>
    <row r="482" spans="1:15">
      <c r="A482" t="s">
        <v>511</v>
      </c>
      <c r="B482" t="s">
        <v>21</v>
      </c>
      <c r="C482" t="s">
        <v>17</v>
      </c>
      <c r="D482" t="s">
        <v>18</v>
      </c>
      <c r="E482" s="1">
        <v>45737</v>
      </c>
      <c r="F482" s="3">
        <v>4239</v>
      </c>
      <c r="G482" s="3">
        <v>0</v>
      </c>
      <c r="H482">
        <v>0.87</v>
      </c>
      <c r="I482" s="2">
        <v>7442.16</v>
      </c>
      <c r="J482" s="2">
        <v>10201.91</v>
      </c>
      <c r="K482">
        <v>77.05</v>
      </c>
      <c r="L482" t="s">
        <v>33</v>
      </c>
      <c r="M482">
        <f>MONTH(Manufacturing[[#This Row],[Production Date]])</f>
        <v>3</v>
      </c>
      <c r="N482">
        <f>YEAR(Manufacturing[[#This Row],[Production Date]])</f>
        <v>2025</v>
      </c>
      <c r="O482" t="str">
        <f t="shared" si="7"/>
        <v>0-9</v>
      </c>
    </row>
    <row r="483" spans="1:15">
      <c r="A483" t="s">
        <v>512</v>
      </c>
      <c r="B483" t="s">
        <v>36</v>
      </c>
      <c r="C483" t="s">
        <v>22</v>
      </c>
      <c r="D483" t="s">
        <v>18</v>
      </c>
      <c r="E483" s="1">
        <v>45765</v>
      </c>
      <c r="F483" s="3">
        <v>3088</v>
      </c>
      <c r="G483" s="3">
        <v>22</v>
      </c>
      <c r="H483">
        <v>4.82</v>
      </c>
      <c r="I483" s="2">
        <v>16539.8</v>
      </c>
      <c r="J483" s="2">
        <v>18237.39</v>
      </c>
      <c r="K483">
        <v>81.44</v>
      </c>
      <c r="L483" t="s">
        <v>37</v>
      </c>
      <c r="M483">
        <f>MONTH(Manufacturing[[#This Row],[Production Date]])</f>
        <v>4</v>
      </c>
      <c r="N483">
        <f>YEAR(Manufacturing[[#This Row],[Production Date]])</f>
        <v>2025</v>
      </c>
      <c r="O483" t="str">
        <f t="shared" si="7"/>
        <v>20-29</v>
      </c>
    </row>
    <row r="484" spans="1:15">
      <c r="A484" t="s">
        <v>513</v>
      </c>
      <c r="B484" t="s">
        <v>16</v>
      </c>
      <c r="C484" t="s">
        <v>22</v>
      </c>
      <c r="D484" t="s">
        <v>18</v>
      </c>
      <c r="E484" s="1">
        <v>45896</v>
      </c>
      <c r="F484" s="3">
        <v>203</v>
      </c>
      <c r="G484" s="3">
        <v>0</v>
      </c>
      <c r="H484">
        <v>4.78</v>
      </c>
      <c r="I484" s="2">
        <v>28859.01</v>
      </c>
      <c r="J484" s="2">
        <v>36540.22</v>
      </c>
      <c r="K484">
        <v>70.38</v>
      </c>
      <c r="L484" t="s">
        <v>37</v>
      </c>
      <c r="M484">
        <f>MONTH(Manufacturing[[#This Row],[Production Date]])</f>
        <v>8</v>
      </c>
      <c r="N484">
        <f>YEAR(Manufacturing[[#This Row],[Production Date]])</f>
        <v>2025</v>
      </c>
      <c r="O484" t="str">
        <f t="shared" si="7"/>
        <v>0-9</v>
      </c>
    </row>
    <row r="485" spans="1:15">
      <c r="A485" t="s">
        <v>514</v>
      </c>
      <c r="B485" t="s">
        <v>31</v>
      </c>
      <c r="C485" t="s">
        <v>32</v>
      </c>
      <c r="D485" t="s">
        <v>18</v>
      </c>
      <c r="E485" s="1">
        <v>45900</v>
      </c>
      <c r="F485" s="3">
        <v>1419</v>
      </c>
      <c r="G485" s="3">
        <v>50</v>
      </c>
      <c r="H485">
        <v>0.16</v>
      </c>
      <c r="I485" s="2">
        <v>11978.56</v>
      </c>
      <c r="J485" s="2">
        <v>15097.01</v>
      </c>
      <c r="K485">
        <v>80.900000000000006</v>
      </c>
      <c r="L485" t="s">
        <v>37</v>
      </c>
      <c r="M485">
        <f>MONTH(Manufacturing[[#This Row],[Production Date]])</f>
        <v>8</v>
      </c>
      <c r="N485">
        <f>YEAR(Manufacturing[[#This Row],[Production Date]])</f>
        <v>2025</v>
      </c>
      <c r="O485" t="str">
        <f t="shared" si="7"/>
        <v>50+</v>
      </c>
    </row>
    <row r="486" spans="1:15">
      <c r="A486" t="s">
        <v>515</v>
      </c>
      <c r="B486" t="s">
        <v>16</v>
      </c>
      <c r="C486" t="s">
        <v>17</v>
      </c>
      <c r="D486" t="s">
        <v>23</v>
      </c>
      <c r="E486" s="1">
        <v>45665</v>
      </c>
      <c r="F486" s="3">
        <v>2987</v>
      </c>
      <c r="G486" s="3">
        <v>35</v>
      </c>
      <c r="H486">
        <v>1.43</v>
      </c>
      <c r="I486" s="2">
        <v>9437.82</v>
      </c>
      <c r="J486" s="2">
        <v>10778.77</v>
      </c>
      <c r="K486">
        <v>95.82</v>
      </c>
      <c r="L486" t="s">
        <v>37</v>
      </c>
      <c r="M486">
        <f>MONTH(Manufacturing[[#This Row],[Production Date]])</f>
        <v>1</v>
      </c>
      <c r="N486">
        <f>YEAR(Manufacturing[[#This Row],[Production Date]])</f>
        <v>2025</v>
      </c>
      <c r="O486" t="str">
        <f t="shared" si="7"/>
        <v>30-39</v>
      </c>
    </row>
    <row r="487" spans="1:15">
      <c r="A487" t="s">
        <v>516</v>
      </c>
      <c r="B487" t="s">
        <v>16</v>
      </c>
      <c r="C487" t="s">
        <v>32</v>
      </c>
      <c r="D487" t="s">
        <v>27</v>
      </c>
      <c r="E487" s="1">
        <v>45846</v>
      </c>
      <c r="F487" s="3">
        <v>4923</v>
      </c>
      <c r="G487" s="3">
        <v>48</v>
      </c>
      <c r="H487">
        <v>2.37</v>
      </c>
      <c r="I487" s="2">
        <v>49330.33</v>
      </c>
      <c r="J487" s="2">
        <v>69477.73</v>
      </c>
      <c r="K487">
        <v>95.1</v>
      </c>
      <c r="L487" t="s">
        <v>24</v>
      </c>
      <c r="M487">
        <f>MONTH(Manufacturing[[#This Row],[Production Date]])</f>
        <v>7</v>
      </c>
      <c r="N487">
        <f>YEAR(Manufacturing[[#This Row],[Production Date]])</f>
        <v>2025</v>
      </c>
      <c r="O487" t="str">
        <f t="shared" si="7"/>
        <v>40-49</v>
      </c>
    </row>
    <row r="488" spans="1:15">
      <c r="A488" t="s">
        <v>517</v>
      </c>
      <c r="B488" t="s">
        <v>36</v>
      </c>
      <c r="C488" t="s">
        <v>22</v>
      </c>
      <c r="D488" t="s">
        <v>23</v>
      </c>
      <c r="E488" s="1">
        <v>45893</v>
      </c>
      <c r="F488" s="3">
        <v>2777</v>
      </c>
      <c r="G488" s="3">
        <v>47</v>
      </c>
      <c r="H488">
        <v>2.12</v>
      </c>
      <c r="I488" s="2">
        <v>15866.68</v>
      </c>
      <c r="J488" s="2">
        <v>20222.18</v>
      </c>
      <c r="K488">
        <v>82.43</v>
      </c>
      <c r="L488" t="s">
        <v>19</v>
      </c>
      <c r="M488">
        <f>MONTH(Manufacturing[[#This Row],[Production Date]])</f>
        <v>8</v>
      </c>
      <c r="N488">
        <f>YEAR(Manufacturing[[#This Row],[Production Date]])</f>
        <v>2025</v>
      </c>
      <c r="O488" t="str">
        <f t="shared" si="7"/>
        <v>40-49</v>
      </c>
    </row>
    <row r="489" spans="1:15">
      <c r="A489" t="s">
        <v>518</v>
      </c>
      <c r="B489" t="s">
        <v>21</v>
      </c>
      <c r="C489" t="s">
        <v>22</v>
      </c>
      <c r="D489" t="s">
        <v>27</v>
      </c>
      <c r="E489" s="1">
        <v>45890</v>
      </c>
      <c r="F489" s="3">
        <v>537</v>
      </c>
      <c r="G489" s="3">
        <v>5</v>
      </c>
      <c r="H489">
        <v>2.44</v>
      </c>
      <c r="I489" s="2">
        <v>36010.410000000003</v>
      </c>
      <c r="J489" s="2">
        <v>51387.98</v>
      </c>
      <c r="K489">
        <v>84.83</v>
      </c>
      <c r="L489" t="s">
        <v>24</v>
      </c>
      <c r="M489">
        <f>MONTH(Manufacturing[[#This Row],[Production Date]])</f>
        <v>8</v>
      </c>
      <c r="N489">
        <f>YEAR(Manufacturing[[#This Row],[Production Date]])</f>
        <v>2025</v>
      </c>
      <c r="O489" t="str">
        <f t="shared" si="7"/>
        <v>0-9</v>
      </c>
    </row>
    <row r="490" spans="1:15">
      <c r="A490" t="s">
        <v>519</v>
      </c>
      <c r="B490" t="s">
        <v>16</v>
      </c>
      <c r="C490" t="s">
        <v>22</v>
      </c>
      <c r="D490" t="s">
        <v>18</v>
      </c>
      <c r="E490" s="1">
        <v>45751</v>
      </c>
      <c r="F490" s="3">
        <v>316</v>
      </c>
      <c r="G490" s="3">
        <v>2</v>
      </c>
      <c r="H490">
        <v>2.91</v>
      </c>
      <c r="I490" s="2">
        <v>49039.99</v>
      </c>
      <c r="J490" s="2">
        <v>72913.98</v>
      </c>
      <c r="K490">
        <v>96.52</v>
      </c>
      <c r="L490" t="s">
        <v>24</v>
      </c>
      <c r="M490">
        <f>MONTH(Manufacturing[[#This Row],[Production Date]])</f>
        <v>4</v>
      </c>
      <c r="N490">
        <f>YEAR(Manufacturing[[#This Row],[Production Date]])</f>
        <v>2025</v>
      </c>
      <c r="O490" t="str">
        <f t="shared" si="7"/>
        <v>0-9</v>
      </c>
    </row>
    <row r="491" spans="1:15">
      <c r="A491" t="s">
        <v>520</v>
      </c>
      <c r="B491" t="s">
        <v>26</v>
      </c>
      <c r="C491" t="s">
        <v>32</v>
      </c>
      <c r="D491" t="s">
        <v>23</v>
      </c>
      <c r="E491" s="1">
        <v>45864</v>
      </c>
      <c r="F491" s="3">
        <v>1377</v>
      </c>
      <c r="G491" s="3">
        <v>39</v>
      </c>
      <c r="H491">
        <v>1.04</v>
      </c>
      <c r="I491" s="2">
        <v>39977.53</v>
      </c>
      <c r="J491" s="2">
        <v>50000.74</v>
      </c>
      <c r="K491">
        <v>71.849999999999994</v>
      </c>
      <c r="L491" t="s">
        <v>19</v>
      </c>
      <c r="M491">
        <f>MONTH(Manufacturing[[#This Row],[Production Date]])</f>
        <v>7</v>
      </c>
      <c r="N491">
        <f>YEAR(Manufacturing[[#This Row],[Production Date]])</f>
        <v>2025</v>
      </c>
      <c r="O491" t="str">
        <f t="shared" si="7"/>
        <v>30-39</v>
      </c>
    </row>
    <row r="492" spans="1:15">
      <c r="A492" t="s">
        <v>521</v>
      </c>
      <c r="B492" t="s">
        <v>36</v>
      </c>
      <c r="C492" t="s">
        <v>22</v>
      </c>
      <c r="D492" t="s">
        <v>27</v>
      </c>
      <c r="E492" s="1">
        <v>45857</v>
      </c>
      <c r="F492" s="3">
        <v>1952</v>
      </c>
      <c r="G492" s="3">
        <v>7</v>
      </c>
      <c r="H492">
        <v>3.09</v>
      </c>
      <c r="I492" s="2">
        <v>18924.72</v>
      </c>
      <c r="J492" s="2">
        <v>23350.91</v>
      </c>
      <c r="K492">
        <v>91.1</v>
      </c>
      <c r="L492" t="s">
        <v>19</v>
      </c>
      <c r="M492">
        <f>MONTH(Manufacturing[[#This Row],[Production Date]])</f>
        <v>7</v>
      </c>
      <c r="N492">
        <f>YEAR(Manufacturing[[#This Row],[Production Date]])</f>
        <v>2025</v>
      </c>
      <c r="O492" t="str">
        <f t="shared" si="7"/>
        <v>0-9</v>
      </c>
    </row>
    <row r="493" spans="1:15">
      <c r="A493" t="s">
        <v>522</v>
      </c>
      <c r="B493" t="s">
        <v>21</v>
      </c>
      <c r="C493" t="s">
        <v>17</v>
      </c>
      <c r="D493" t="s">
        <v>18</v>
      </c>
      <c r="E493" s="1">
        <v>45842</v>
      </c>
      <c r="F493" s="3">
        <v>4581</v>
      </c>
      <c r="G493" s="3">
        <v>11</v>
      </c>
      <c r="H493">
        <v>6.63</v>
      </c>
      <c r="I493" s="2">
        <v>18159.63</v>
      </c>
      <c r="J493" s="2">
        <v>23673.53</v>
      </c>
      <c r="K493">
        <v>94.06</v>
      </c>
      <c r="L493" t="s">
        <v>33</v>
      </c>
      <c r="M493">
        <f>MONTH(Manufacturing[[#This Row],[Production Date]])</f>
        <v>7</v>
      </c>
      <c r="N493">
        <f>YEAR(Manufacturing[[#This Row],[Production Date]])</f>
        <v>2025</v>
      </c>
      <c r="O493" t="str">
        <f t="shared" si="7"/>
        <v>10-19</v>
      </c>
    </row>
    <row r="494" spans="1:15">
      <c r="A494" t="s">
        <v>523</v>
      </c>
      <c r="B494" t="s">
        <v>21</v>
      </c>
      <c r="C494" t="s">
        <v>32</v>
      </c>
      <c r="D494" t="s">
        <v>27</v>
      </c>
      <c r="E494" s="1">
        <v>45632</v>
      </c>
      <c r="F494" s="3">
        <v>3589</v>
      </c>
      <c r="G494" s="3">
        <v>15</v>
      </c>
      <c r="H494">
        <v>9.26</v>
      </c>
      <c r="I494" s="2">
        <v>46786.41</v>
      </c>
      <c r="J494" s="2">
        <v>61996.160000000003</v>
      </c>
      <c r="K494">
        <v>97.61</v>
      </c>
      <c r="L494" t="s">
        <v>19</v>
      </c>
      <c r="M494">
        <f>MONTH(Manufacturing[[#This Row],[Production Date]])</f>
        <v>12</v>
      </c>
      <c r="N494">
        <f>YEAR(Manufacturing[[#This Row],[Production Date]])</f>
        <v>2024</v>
      </c>
      <c r="O494" t="str">
        <f t="shared" si="7"/>
        <v>10-19</v>
      </c>
    </row>
    <row r="495" spans="1:15">
      <c r="A495" t="s">
        <v>524</v>
      </c>
      <c r="B495" t="s">
        <v>31</v>
      </c>
      <c r="C495" t="s">
        <v>32</v>
      </c>
      <c r="D495" t="s">
        <v>18</v>
      </c>
      <c r="E495" s="1">
        <v>45864</v>
      </c>
      <c r="F495" s="3">
        <v>736</v>
      </c>
      <c r="G495" s="3">
        <v>48</v>
      </c>
      <c r="H495">
        <v>4.54</v>
      </c>
      <c r="I495" s="2">
        <v>9767.64</v>
      </c>
      <c r="J495" s="2">
        <v>12457.85</v>
      </c>
      <c r="K495">
        <v>76.13</v>
      </c>
      <c r="L495" t="s">
        <v>24</v>
      </c>
      <c r="M495">
        <f>MONTH(Manufacturing[[#This Row],[Production Date]])</f>
        <v>7</v>
      </c>
      <c r="N495">
        <f>YEAR(Manufacturing[[#This Row],[Production Date]])</f>
        <v>2025</v>
      </c>
      <c r="O495" t="str">
        <f t="shared" si="7"/>
        <v>40-49</v>
      </c>
    </row>
    <row r="496" spans="1:15">
      <c r="A496" t="s">
        <v>525</v>
      </c>
      <c r="B496" t="s">
        <v>26</v>
      </c>
      <c r="C496" t="s">
        <v>22</v>
      </c>
      <c r="D496" t="s">
        <v>18</v>
      </c>
      <c r="E496" s="1">
        <v>45747</v>
      </c>
      <c r="F496" s="3">
        <v>3608</v>
      </c>
      <c r="G496" s="3">
        <v>49</v>
      </c>
      <c r="H496">
        <v>6.24</v>
      </c>
      <c r="I496" s="2">
        <v>6933.65</v>
      </c>
      <c r="J496" s="2">
        <v>7958.46</v>
      </c>
      <c r="K496">
        <v>84.99</v>
      </c>
      <c r="L496" t="s">
        <v>29</v>
      </c>
      <c r="M496">
        <f>MONTH(Manufacturing[[#This Row],[Production Date]])</f>
        <v>3</v>
      </c>
      <c r="N496">
        <f>YEAR(Manufacturing[[#This Row],[Production Date]])</f>
        <v>2025</v>
      </c>
      <c r="O496" t="str">
        <f t="shared" si="7"/>
        <v>40-49</v>
      </c>
    </row>
    <row r="497" spans="1:15">
      <c r="A497" t="s">
        <v>526</v>
      </c>
      <c r="B497" t="s">
        <v>16</v>
      </c>
      <c r="C497" t="s">
        <v>17</v>
      </c>
      <c r="D497" t="s">
        <v>27</v>
      </c>
      <c r="E497" s="1">
        <v>45839</v>
      </c>
      <c r="F497" s="3">
        <v>2091</v>
      </c>
      <c r="G497" s="3">
        <v>22</v>
      </c>
      <c r="H497">
        <v>5.69</v>
      </c>
      <c r="I497" s="2">
        <v>17335.21</v>
      </c>
      <c r="J497" s="2">
        <v>21341.03</v>
      </c>
      <c r="K497">
        <v>91.34</v>
      </c>
      <c r="L497" t="s">
        <v>29</v>
      </c>
      <c r="M497">
        <f>MONTH(Manufacturing[[#This Row],[Production Date]])</f>
        <v>7</v>
      </c>
      <c r="N497">
        <f>YEAR(Manufacturing[[#This Row],[Production Date]])</f>
        <v>2025</v>
      </c>
      <c r="O497" t="str">
        <f t="shared" si="7"/>
        <v>20-29</v>
      </c>
    </row>
    <row r="498" spans="1:15">
      <c r="A498" t="s">
        <v>527</v>
      </c>
      <c r="B498" t="s">
        <v>21</v>
      </c>
      <c r="C498" t="s">
        <v>17</v>
      </c>
      <c r="D498" t="s">
        <v>27</v>
      </c>
      <c r="E498" s="1">
        <v>45614</v>
      </c>
      <c r="F498" s="3">
        <v>433</v>
      </c>
      <c r="G498" s="3">
        <v>2</v>
      </c>
      <c r="H498">
        <v>4.51</v>
      </c>
      <c r="I498" s="2">
        <v>30370.39</v>
      </c>
      <c r="J498" s="2">
        <v>35673.39</v>
      </c>
      <c r="K498">
        <v>86.1</v>
      </c>
      <c r="L498" t="s">
        <v>24</v>
      </c>
      <c r="M498">
        <f>MONTH(Manufacturing[[#This Row],[Production Date]])</f>
        <v>11</v>
      </c>
      <c r="N498">
        <f>YEAR(Manufacturing[[#This Row],[Production Date]])</f>
        <v>2024</v>
      </c>
      <c r="O498" t="str">
        <f t="shared" si="7"/>
        <v>0-9</v>
      </c>
    </row>
    <row r="499" spans="1:15">
      <c r="A499" t="s">
        <v>528</v>
      </c>
      <c r="B499" t="s">
        <v>26</v>
      </c>
      <c r="C499" t="s">
        <v>22</v>
      </c>
      <c r="D499" t="s">
        <v>27</v>
      </c>
      <c r="E499" s="1">
        <v>45775</v>
      </c>
      <c r="F499" s="3">
        <v>1589</v>
      </c>
      <c r="G499" s="3">
        <v>22</v>
      </c>
      <c r="H499">
        <v>5.94</v>
      </c>
      <c r="I499" s="2">
        <v>49188.42</v>
      </c>
      <c r="J499" s="2">
        <v>73584</v>
      </c>
      <c r="K499">
        <v>94.22</v>
      </c>
      <c r="L499" t="s">
        <v>19</v>
      </c>
      <c r="M499">
        <f>MONTH(Manufacturing[[#This Row],[Production Date]])</f>
        <v>4</v>
      </c>
      <c r="N499">
        <f>YEAR(Manufacturing[[#This Row],[Production Date]])</f>
        <v>2025</v>
      </c>
      <c r="O499" t="str">
        <f t="shared" si="7"/>
        <v>20-29</v>
      </c>
    </row>
    <row r="500" spans="1:15">
      <c r="A500" t="s">
        <v>529</v>
      </c>
      <c r="B500" t="s">
        <v>21</v>
      </c>
      <c r="C500" t="s">
        <v>32</v>
      </c>
      <c r="D500" t="s">
        <v>18</v>
      </c>
      <c r="E500" s="1">
        <v>45710</v>
      </c>
      <c r="F500" s="3">
        <v>3557</v>
      </c>
      <c r="G500" s="3">
        <v>49</v>
      </c>
      <c r="H500">
        <v>4.79</v>
      </c>
      <c r="I500" s="2">
        <v>31140.59</v>
      </c>
      <c r="J500" s="2">
        <v>43719.19</v>
      </c>
      <c r="K500">
        <v>72.53</v>
      </c>
      <c r="L500" t="s">
        <v>37</v>
      </c>
      <c r="M500">
        <f>MONTH(Manufacturing[[#This Row],[Production Date]])</f>
        <v>2</v>
      </c>
      <c r="N500">
        <f>YEAR(Manufacturing[[#This Row],[Production Date]])</f>
        <v>2025</v>
      </c>
      <c r="O500" t="str">
        <f t="shared" si="7"/>
        <v>40-49</v>
      </c>
    </row>
    <row r="501" spans="1:15">
      <c r="A501" t="s">
        <v>530</v>
      </c>
      <c r="B501" t="s">
        <v>26</v>
      </c>
      <c r="C501" t="s">
        <v>32</v>
      </c>
      <c r="D501" t="s">
        <v>18</v>
      </c>
      <c r="E501" s="1">
        <v>45692</v>
      </c>
      <c r="F501" s="3">
        <v>4943</v>
      </c>
      <c r="G501" s="3">
        <v>28</v>
      </c>
      <c r="H501">
        <v>7.78</v>
      </c>
      <c r="I501" s="2">
        <v>37978.79</v>
      </c>
      <c r="J501" s="2">
        <v>43854.99</v>
      </c>
      <c r="K501">
        <v>89.65</v>
      </c>
      <c r="L501" t="s">
        <v>37</v>
      </c>
      <c r="M501">
        <f>MONTH(Manufacturing[[#This Row],[Production Date]])</f>
        <v>2</v>
      </c>
      <c r="N501">
        <f>YEAR(Manufacturing[[#This Row],[Production Date]])</f>
        <v>2025</v>
      </c>
      <c r="O501" t="str">
        <f t="shared" si="7"/>
        <v>20-29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A7A51-A50B-4636-B7AC-5344754A0A72}">
  <dimension ref="A1:N111"/>
  <sheetViews>
    <sheetView topLeftCell="AX67" zoomScale="101" zoomScaleNormal="100" workbookViewId="0">
      <selection activeCell="M62" sqref="M62"/>
    </sheetView>
  </sheetViews>
  <sheetFormatPr defaultRowHeight="15"/>
  <cols>
    <col min="1" max="1" width="13.42578125" bestFit="1" customWidth="1"/>
    <col min="2" max="2" width="17.42578125" bestFit="1" customWidth="1"/>
    <col min="3" max="3" width="18.7109375" bestFit="1" customWidth="1"/>
    <col min="4" max="5" width="13.42578125" bestFit="1" customWidth="1"/>
    <col min="6" max="6" width="23.7109375" bestFit="1" customWidth="1"/>
    <col min="7" max="7" width="17.85546875" bestFit="1" customWidth="1"/>
    <col min="8" max="8" width="16.85546875" bestFit="1" customWidth="1"/>
    <col min="9" max="9" width="7.140625" bestFit="1" customWidth="1"/>
    <col min="10" max="10" width="7.42578125" bestFit="1" customWidth="1"/>
    <col min="11" max="11" width="11.28515625" bestFit="1" customWidth="1"/>
    <col min="12" max="12" width="13.42578125" bestFit="1" customWidth="1"/>
    <col min="13" max="13" width="15" bestFit="1" customWidth="1"/>
    <col min="14" max="15" width="8" bestFit="1" customWidth="1"/>
    <col min="16" max="16" width="7" bestFit="1" customWidth="1"/>
    <col min="17" max="17" width="8" bestFit="1" customWidth="1"/>
    <col min="18" max="18" width="7" bestFit="1" customWidth="1"/>
    <col min="19" max="19" width="8" bestFit="1" customWidth="1"/>
    <col min="20" max="20" width="7" bestFit="1" customWidth="1"/>
    <col min="21" max="21" width="8" bestFit="1" customWidth="1"/>
    <col min="22" max="22" width="7" bestFit="1" customWidth="1"/>
    <col min="23" max="23" width="8" bestFit="1" customWidth="1"/>
    <col min="24" max="30" width="9" bestFit="1" customWidth="1"/>
    <col min="31" max="31" width="8" bestFit="1" customWidth="1"/>
    <col min="32" max="42" width="9" bestFit="1" customWidth="1"/>
    <col min="43" max="43" width="8" bestFit="1" customWidth="1"/>
    <col min="44" max="63" width="9" bestFit="1" customWidth="1"/>
    <col min="64" max="65" width="8" bestFit="1" customWidth="1"/>
    <col min="66" max="66" width="9" bestFit="1" customWidth="1"/>
    <col min="67" max="67" width="8" bestFit="1" customWidth="1"/>
    <col min="68" max="73" width="9" bestFit="1" customWidth="1"/>
    <col min="74" max="74" width="8" bestFit="1" customWidth="1"/>
    <col min="75" max="81" width="9" bestFit="1" customWidth="1"/>
    <col min="82" max="82" width="6" bestFit="1" customWidth="1"/>
    <col min="83" max="84" width="9" bestFit="1" customWidth="1"/>
    <col min="85" max="85" width="8" bestFit="1" customWidth="1"/>
    <col min="86" max="88" width="9" bestFit="1" customWidth="1"/>
    <col min="89" max="90" width="8" bestFit="1" customWidth="1"/>
    <col min="91" max="107" width="9" bestFit="1" customWidth="1"/>
    <col min="108" max="108" width="6" bestFit="1" customWidth="1"/>
    <col min="109" max="109" width="9" bestFit="1" customWidth="1"/>
    <col min="110" max="110" width="6" bestFit="1" customWidth="1"/>
    <col min="111" max="113" width="9" bestFit="1" customWidth="1"/>
    <col min="114" max="114" width="8" bestFit="1" customWidth="1"/>
    <col min="115" max="133" width="9" bestFit="1" customWidth="1"/>
    <col min="134" max="134" width="8" bestFit="1" customWidth="1"/>
    <col min="135" max="142" width="9" bestFit="1" customWidth="1"/>
    <col min="143" max="143" width="8" bestFit="1" customWidth="1"/>
    <col min="144" max="144" width="9" bestFit="1" customWidth="1"/>
    <col min="145" max="145" width="8" bestFit="1" customWidth="1"/>
    <col min="146" max="146" width="9" bestFit="1" customWidth="1"/>
    <col min="147" max="147" width="8" bestFit="1" customWidth="1"/>
    <col min="148" max="169" width="9" bestFit="1" customWidth="1"/>
    <col min="170" max="170" width="13" bestFit="1" customWidth="1"/>
    <col min="171" max="173" width="8" bestFit="1" customWidth="1"/>
    <col min="174" max="175" width="7" bestFit="1" customWidth="1"/>
    <col min="176" max="177" width="8" bestFit="1" customWidth="1"/>
    <col min="178" max="179" width="7" bestFit="1" customWidth="1"/>
    <col min="180" max="182" width="8" bestFit="1" customWidth="1"/>
    <col min="183" max="184" width="7" bestFit="1" customWidth="1"/>
    <col min="185" max="186" width="8" bestFit="1" customWidth="1"/>
    <col min="187" max="187" width="7" bestFit="1" customWidth="1"/>
    <col min="188" max="190" width="8" bestFit="1" customWidth="1"/>
    <col min="191" max="196" width="9" bestFit="1" customWidth="1"/>
    <col min="197" max="197" width="8" bestFit="1" customWidth="1"/>
    <col min="198" max="212" width="9" bestFit="1" customWidth="1"/>
    <col min="213" max="213" width="6" bestFit="1" customWidth="1"/>
    <col min="214" max="215" width="9" bestFit="1" customWidth="1"/>
    <col min="216" max="216" width="8" bestFit="1" customWidth="1"/>
    <col min="217" max="243" width="9" bestFit="1" customWidth="1"/>
    <col min="244" max="244" width="8" bestFit="1" customWidth="1"/>
    <col min="245" max="271" width="9" bestFit="1" customWidth="1"/>
    <col min="272" max="272" width="8" bestFit="1" customWidth="1"/>
    <col min="273" max="278" width="9" bestFit="1" customWidth="1"/>
    <col min="279" max="279" width="8" bestFit="1" customWidth="1"/>
    <col min="280" max="295" width="9" bestFit="1" customWidth="1"/>
    <col min="296" max="296" width="8" bestFit="1" customWidth="1"/>
    <col min="297" max="328" width="9" bestFit="1" customWidth="1"/>
    <col min="329" max="329" width="8" bestFit="1" customWidth="1"/>
    <col min="330" max="331" width="9" bestFit="1" customWidth="1"/>
    <col min="332" max="332" width="8" bestFit="1" customWidth="1"/>
    <col min="333" max="333" width="7" bestFit="1" customWidth="1"/>
    <col min="334" max="361" width="8" bestFit="1" customWidth="1"/>
    <col min="362" max="362" width="7" bestFit="1" customWidth="1"/>
    <col min="363" max="365" width="8" bestFit="1" customWidth="1"/>
    <col min="366" max="371" width="9" bestFit="1" customWidth="1"/>
    <col min="372" max="372" width="8" bestFit="1" customWidth="1"/>
    <col min="373" max="396" width="9" bestFit="1" customWidth="1"/>
    <col min="397" max="398" width="8" bestFit="1" customWidth="1"/>
    <col min="399" max="417" width="9" bestFit="1" customWidth="1"/>
    <col min="418" max="418" width="8" bestFit="1" customWidth="1"/>
    <col min="419" max="428" width="9" bestFit="1" customWidth="1"/>
    <col min="429" max="429" width="8" bestFit="1" customWidth="1"/>
    <col min="430" max="441" width="9" bestFit="1" customWidth="1"/>
    <col min="442" max="442" width="8" bestFit="1" customWidth="1"/>
    <col min="443" max="444" width="9" bestFit="1" customWidth="1"/>
    <col min="445" max="445" width="8" bestFit="1" customWidth="1"/>
    <col min="446" max="446" width="9" bestFit="1" customWidth="1"/>
    <col min="447" max="447" width="8" bestFit="1" customWidth="1"/>
    <col min="448" max="454" width="9" bestFit="1" customWidth="1"/>
    <col min="455" max="455" width="8" bestFit="1" customWidth="1"/>
    <col min="456" max="457" width="9" bestFit="1" customWidth="1"/>
    <col min="458" max="458" width="8" bestFit="1" customWidth="1"/>
    <col min="459" max="467" width="9" bestFit="1" customWidth="1"/>
    <col min="468" max="468" width="8" bestFit="1" customWidth="1"/>
    <col min="469" max="480" width="9" bestFit="1" customWidth="1"/>
    <col min="481" max="481" width="8" bestFit="1" customWidth="1"/>
    <col min="482" max="501" width="9" bestFit="1" customWidth="1"/>
  </cols>
  <sheetData>
    <row r="1" spans="1:9">
      <c r="A1" s="5" t="s">
        <v>531</v>
      </c>
      <c r="B1" s="6"/>
      <c r="C1" s="6"/>
      <c r="D1" s="6"/>
      <c r="E1" s="6"/>
      <c r="F1" s="6"/>
      <c r="G1" s="6"/>
      <c r="H1" s="6"/>
      <c r="I1" s="7"/>
    </row>
    <row r="2" spans="1:9">
      <c r="A2" s="8" t="s">
        <v>5</v>
      </c>
      <c r="B2" s="9" t="s">
        <v>6</v>
      </c>
      <c r="C2" s="9" t="s">
        <v>8</v>
      </c>
      <c r="D2" s="9" t="s">
        <v>9</v>
      </c>
      <c r="E2" s="9" t="s">
        <v>10</v>
      </c>
      <c r="I2" s="10"/>
    </row>
    <row r="3" spans="1:9" ht="15.75" thickBot="1">
      <c r="A3" s="11"/>
      <c r="I3" s="10"/>
    </row>
    <row r="4" spans="1:9" ht="15.75" thickBot="1">
      <c r="A4" s="22" t="s">
        <v>5</v>
      </c>
      <c r="B4" s="22" t="s">
        <v>532</v>
      </c>
      <c r="C4" s="22" t="s">
        <v>8</v>
      </c>
      <c r="D4" s="22" t="s">
        <v>9</v>
      </c>
      <c r="E4" s="22" t="s">
        <v>10</v>
      </c>
      <c r="I4" s="10"/>
    </row>
    <row r="5" spans="1:9" ht="15.75" thickBot="1">
      <c r="A5" s="21">
        <v>1274053</v>
      </c>
      <c r="B5" s="40">
        <v>12615</v>
      </c>
      <c r="C5" s="24">
        <v>13258493.210000001</v>
      </c>
      <c r="D5" s="24">
        <v>17207186.350000001</v>
      </c>
      <c r="E5" s="23">
        <v>84.298659999999998</v>
      </c>
      <c r="G5" t="s">
        <v>533</v>
      </c>
      <c r="I5" s="10"/>
    </row>
    <row r="6" spans="1:9">
      <c r="A6" s="11"/>
      <c r="I6" s="10"/>
    </row>
    <row r="7" spans="1:9" ht="19.5" thickBot="1">
      <c r="A7" s="12" t="s">
        <v>534</v>
      </c>
      <c r="D7" s="4" t="s">
        <v>535</v>
      </c>
      <c r="I7" s="10"/>
    </row>
    <row r="8" spans="1:9" ht="15.75" thickBot="1">
      <c r="A8" s="17" t="s">
        <v>536</v>
      </c>
      <c r="B8" s="22" t="s">
        <v>5</v>
      </c>
      <c r="D8" s="17" t="s">
        <v>536</v>
      </c>
      <c r="E8" s="22" t="s">
        <v>537</v>
      </c>
      <c r="I8" s="10"/>
    </row>
    <row r="9" spans="1:9">
      <c r="A9" s="18" t="s">
        <v>18</v>
      </c>
      <c r="B9" s="25">
        <v>423188</v>
      </c>
      <c r="D9" s="18" t="s">
        <v>22</v>
      </c>
      <c r="E9" s="68">
        <v>4054</v>
      </c>
      <c r="I9" s="10"/>
    </row>
    <row r="10" spans="1:9">
      <c r="A10" s="19" t="s">
        <v>23</v>
      </c>
      <c r="B10" s="26">
        <v>426530</v>
      </c>
      <c r="D10" s="19" t="s">
        <v>32</v>
      </c>
      <c r="E10" s="69">
        <v>4554</v>
      </c>
      <c r="I10" s="10"/>
    </row>
    <row r="11" spans="1:9" ht="15.75" thickBot="1">
      <c r="A11" s="20" t="s">
        <v>27</v>
      </c>
      <c r="B11" s="27">
        <v>424335</v>
      </c>
      <c r="D11" s="20" t="s">
        <v>17</v>
      </c>
      <c r="E11" s="70">
        <v>4007</v>
      </c>
      <c r="I11" s="10"/>
    </row>
    <row r="12" spans="1:9">
      <c r="A12" s="11"/>
      <c r="I12" s="10"/>
    </row>
    <row r="13" spans="1:9" ht="15.75" thickBot="1">
      <c r="A13" s="8" t="s">
        <v>538</v>
      </c>
      <c r="F13" s="13" t="s">
        <v>539</v>
      </c>
      <c r="I13" s="10"/>
    </row>
    <row r="14" spans="1:9" ht="15.75" thickBot="1">
      <c r="A14" s="17" t="s">
        <v>540</v>
      </c>
      <c r="B14" s="17" t="s">
        <v>541</v>
      </c>
      <c r="C14" s="36"/>
      <c r="D14" s="37"/>
      <c r="I14" s="10"/>
    </row>
    <row r="15" spans="1:9" ht="15.75" thickBot="1">
      <c r="A15" s="17" t="s">
        <v>536</v>
      </c>
      <c r="B15" s="36" t="s">
        <v>22</v>
      </c>
      <c r="C15" s="38" t="s">
        <v>32</v>
      </c>
      <c r="D15" s="37" t="s">
        <v>17</v>
      </c>
      <c r="F15" s="17" t="s">
        <v>536</v>
      </c>
      <c r="G15" s="36" t="s">
        <v>9</v>
      </c>
      <c r="H15" s="37" t="s">
        <v>8</v>
      </c>
      <c r="I15" s="10"/>
    </row>
    <row r="16" spans="1:9">
      <c r="A16" s="18" t="s">
        <v>542</v>
      </c>
      <c r="B16" s="31">
        <v>513030.2</v>
      </c>
      <c r="C16" s="32">
        <v>621774.59</v>
      </c>
      <c r="D16" s="33">
        <v>300957.71000000002</v>
      </c>
      <c r="F16" s="18" t="s">
        <v>26</v>
      </c>
      <c r="G16" s="39">
        <v>4223316.43</v>
      </c>
      <c r="H16" s="7">
        <v>3213532.24</v>
      </c>
      <c r="I16" s="10"/>
    </row>
    <row r="17" spans="1:14">
      <c r="A17" s="19" t="s">
        <v>543</v>
      </c>
      <c r="B17" s="34">
        <v>463153.18</v>
      </c>
      <c r="C17" s="71">
        <v>539712.76</v>
      </c>
      <c r="D17" s="28">
        <v>313124.15999999997</v>
      </c>
      <c r="F17" s="19" t="s">
        <v>21</v>
      </c>
      <c r="G17" s="11">
        <v>3743707.46</v>
      </c>
      <c r="H17" s="10">
        <v>2911931.9</v>
      </c>
      <c r="I17" s="10"/>
    </row>
    <row r="18" spans="1:14">
      <c r="A18" s="19" t="s">
        <v>544</v>
      </c>
      <c r="B18" s="34">
        <v>303805.81</v>
      </c>
      <c r="C18" s="71">
        <v>339547.18</v>
      </c>
      <c r="D18" s="28">
        <v>489763.52</v>
      </c>
      <c r="F18" s="19" t="s">
        <v>31</v>
      </c>
      <c r="G18" s="11">
        <v>3214276.54</v>
      </c>
      <c r="H18" s="10">
        <v>2494562.02</v>
      </c>
      <c r="I18" s="10"/>
    </row>
    <row r="19" spans="1:14">
      <c r="A19" s="19" t="s">
        <v>545</v>
      </c>
      <c r="B19" s="34">
        <v>612660.18999999994</v>
      </c>
      <c r="C19" s="71">
        <v>515494.2</v>
      </c>
      <c r="D19" s="28">
        <v>388752.75</v>
      </c>
      <c r="F19" s="19" t="s">
        <v>16</v>
      </c>
      <c r="G19" s="11">
        <v>3167571.45</v>
      </c>
      <c r="H19" s="10">
        <v>2425758.33</v>
      </c>
      <c r="I19" s="10"/>
    </row>
    <row r="20" spans="1:14" ht="15.75" thickBot="1">
      <c r="A20" s="19" t="s">
        <v>546</v>
      </c>
      <c r="B20" s="34">
        <v>557964.43000000005</v>
      </c>
      <c r="C20" s="71">
        <v>484548.87</v>
      </c>
      <c r="D20" s="28">
        <v>396680.08</v>
      </c>
      <c r="F20" s="20" t="s">
        <v>36</v>
      </c>
      <c r="G20" s="14">
        <v>2858314.47</v>
      </c>
      <c r="H20" s="16">
        <v>2212708.7200000002</v>
      </c>
      <c r="I20" s="10"/>
    </row>
    <row r="21" spans="1:14">
      <c r="A21" s="19" t="s">
        <v>547</v>
      </c>
      <c r="B21" s="34">
        <v>933605.2</v>
      </c>
      <c r="C21" s="71">
        <v>396531.28</v>
      </c>
      <c r="D21" s="28">
        <v>529416.17000000004</v>
      </c>
      <c r="I21" s="10"/>
    </row>
    <row r="22" spans="1:14">
      <c r="A22" s="19" t="s">
        <v>548</v>
      </c>
      <c r="B22" s="34">
        <v>385741.38</v>
      </c>
      <c r="C22" s="71">
        <v>581481.98</v>
      </c>
      <c r="D22" s="28">
        <v>396310.59</v>
      </c>
      <c r="I22" s="10"/>
    </row>
    <row r="23" spans="1:14">
      <c r="A23" s="19" t="s">
        <v>549</v>
      </c>
      <c r="B23" s="34">
        <v>530531.29</v>
      </c>
      <c r="C23" s="71">
        <v>484282.68</v>
      </c>
      <c r="D23" s="28">
        <v>806783.32</v>
      </c>
      <c r="I23" s="10"/>
    </row>
    <row r="24" spans="1:14">
      <c r="A24" s="19" t="s">
        <v>550</v>
      </c>
      <c r="B24" s="34">
        <v>483171.42</v>
      </c>
      <c r="C24" s="71">
        <v>747922.32</v>
      </c>
      <c r="D24" s="28">
        <v>341122.56</v>
      </c>
      <c r="I24" s="10"/>
    </row>
    <row r="25" spans="1:14">
      <c r="A25" s="19" t="s">
        <v>551</v>
      </c>
      <c r="B25" s="34">
        <v>218123.99</v>
      </c>
      <c r="C25" s="71">
        <v>276454.52</v>
      </c>
      <c r="D25" s="28">
        <v>436367.39</v>
      </c>
      <c r="I25" s="10"/>
    </row>
    <row r="26" spans="1:14">
      <c r="A26" s="19" t="s">
        <v>552</v>
      </c>
      <c r="B26" s="34">
        <v>358261.33</v>
      </c>
      <c r="C26" s="71">
        <v>335807.9</v>
      </c>
      <c r="D26" s="28">
        <v>535439.94999999995</v>
      </c>
      <c r="I26" s="10"/>
    </row>
    <row r="27" spans="1:14" ht="15.75" thickBot="1">
      <c r="A27" s="20" t="s">
        <v>553</v>
      </c>
      <c r="B27" s="35">
        <v>598073.17000000004</v>
      </c>
      <c r="C27" s="29">
        <v>430295.77</v>
      </c>
      <c r="D27" s="30">
        <v>560492.51</v>
      </c>
      <c r="I27" s="10"/>
    </row>
    <row r="28" spans="1:14">
      <c r="A28" s="11"/>
      <c r="I28" s="10"/>
    </row>
    <row r="29" spans="1:14" ht="15.75" thickBot="1">
      <c r="A29" s="14"/>
      <c r="B29" s="15"/>
      <c r="C29" s="15"/>
      <c r="D29" s="15"/>
      <c r="E29" s="15"/>
      <c r="F29" s="15"/>
      <c r="I29" s="10"/>
    </row>
    <row r="30" spans="1:14">
      <c r="A30" s="39"/>
      <c r="B30" s="6"/>
      <c r="C30" s="6"/>
      <c r="D30" s="6"/>
      <c r="E30" s="6"/>
      <c r="F30" s="7"/>
      <c r="G30" s="39"/>
      <c r="H30" s="6"/>
      <c r="I30" s="6"/>
      <c r="J30" s="6"/>
      <c r="K30" s="6"/>
      <c r="L30" s="6"/>
      <c r="M30" s="6"/>
      <c r="N30" s="7"/>
    </row>
    <row r="31" spans="1:14">
      <c r="A31" s="53" t="s">
        <v>554</v>
      </c>
      <c r="F31" s="10"/>
      <c r="G31" s="53" t="s">
        <v>555</v>
      </c>
      <c r="N31" s="10"/>
    </row>
    <row r="32" spans="1:14" ht="19.5" thickBot="1">
      <c r="A32" s="12" t="s">
        <v>534</v>
      </c>
      <c r="D32" s="13" t="s">
        <v>539</v>
      </c>
      <c r="F32" s="10"/>
      <c r="G32" s="52" t="s">
        <v>556</v>
      </c>
      <c r="L32" s="9" t="s">
        <v>557</v>
      </c>
      <c r="N32" s="10"/>
    </row>
    <row r="33" spans="1:14" ht="15.75" thickBot="1">
      <c r="A33" s="17" t="s">
        <v>536</v>
      </c>
      <c r="B33" s="22" t="s">
        <v>5</v>
      </c>
      <c r="D33" s="17" t="s">
        <v>536</v>
      </c>
      <c r="E33" s="22" t="s">
        <v>558</v>
      </c>
      <c r="F33" s="10"/>
      <c r="G33" s="17" t="s">
        <v>536</v>
      </c>
      <c r="H33" s="22" t="s">
        <v>559</v>
      </c>
      <c r="L33" s="17" t="s">
        <v>536</v>
      </c>
      <c r="M33" s="22" t="s">
        <v>537</v>
      </c>
      <c r="N33" s="10"/>
    </row>
    <row r="34" spans="1:14">
      <c r="A34" s="18" t="s">
        <v>18</v>
      </c>
      <c r="B34" s="25">
        <v>423188</v>
      </c>
      <c r="D34" s="18" t="s">
        <v>31</v>
      </c>
      <c r="E34" s="68">
        <v>231752</v>
      </c>
      <c r="F34" s="10"/>
      <c r="G34" s="18" t="s">
        <v>560</v>
      </c>
      <c r="H34" s="68">
        <v>108</v>
      </c>
      <c r="L34" s="18" t="s">
        <v>542</v>
      </c>
      <c r="M34" s="68">
        <v>1061</v>
      </c>
      <c r="N34" s="10"/>
    </row>
    <row r="35" spans="1:14">
      <c r="A35" s="19" t="s">
        <v>23</v>
      </c>
      <c r="B35" s="26">
        <v>426530</v>
      </c>
      <c r="D35" s="19" t="s">
        <v>26</v>
      </c>
      <c r="E35" s="69">
        <v>281764</v>
      </c>
      <c r="F35" s="10"/>
      <c r="G35" s="19" t="s">
        <v>561</v>
      </c>
      <c r="H35" s="69">
        <v>83</v>
      </c>
      <c r="L35" s="19" t="s">
        <v>543</v>
      </c>
      <c r="M35" s="69">
        <v>1062</v>
      </c>
      <c r="N35" s="10"/>
    </row>
    <row r="36" spans="1:14" ht="15.75" thickBot="1">
      <c r="A36" s="20" t="s">
        <v>27</v>
      </c>
      <c r="B36" s="27">
        <v>424335</v>
      </c>
      <c r="D36" s="19" t="s">
        <v>36</v>
      </c>
      <c r="E36" s="69">
        <v>231054</v>
      </c>
      <c r="F36" s="10"/>
      <c r="G36" s="19" t="s">
        <v>562</v>
      </c>
      <c r="H36" s="69">
        <v>102</v>
      </c>
      <c r="L36" s="19" t="s">
        <v>544</v>
      </c>
      <c r="M36" s="69">
        <v>905</v>
      </c>
      <c r="N36" s="10"/>
    </row>
    <row r="37" spans="1:14">
      <c r="A37" s="11"/>
      <c r="D37" s="19" t="s">
        <v>16</v>
      </c>
      <c r="E37" s="69">
        <v>241563</v>
      </c>
      <c r="F37" s="10"/>
      <c r="G37" s="19" t="s">
        <v>563</v>
      </c>
      <c r="H37" s="69">
        <v>91</v>
      </c>
      <c r="L37" s="19" t="s">
        <v>545</v>
      </c>
      <c r="M37" s="69">
        <v>1327</v>
      </c>
      <c r="N37" s="10"/>
    </row>
    <row r="38" spans="1:14" ht="15.75" thickBot="1">
      <c r="A38" s="11"/>
      <c r="D38" s="20" t="s">
        <v>21</v>
      </c>
      <c r="E38" s="70">
        <v>287920</v>
      </c>
      <c r="F38" s="10"/>
      <c r="G38" s="19" t="s">
        <v>564</v>
      </c>
      <c r="H38" s="69">
        <v>106</v>
      </c>
      <c r="L38" s="19" t="s">
        <v>546</v>
      </c>
      <c r="M38" s="69">
        <v>1107</v>
      </c>
      <c r="N38" s="10"/>
    </row>
    <row r="39" spans="1:14" ht="15.75" thickBot="1">
      <c r="A39" s="41" t="s">
        <v>565</v>
      </c>
      <c r="F39" s="10"/>
      <c r="G39" s="20" t="s">
        <v>566</v>
      </c>
      <c r="H39" s="70">
        <v>10</v>
      </c>
      <c r="L39" s="19" t="s">
        <v>547</v>
      </c>
      <c r="M39" s="69">
        <v>949</v>
      </c>
      <c r="N39" s="10"/>
    </row>
    <row r="40" spans="1:14">
      <c r="A40" s="11"/>
      <c r="F40" s="10"/>
      <c r="G40" s="11"/>
      <c r="L40" s="19" t="s">
        <v>548</v>
      </c>
      <c r="M40" s="69">
        <v>1142</v>
      </c>
      <c r="N40" s="10"/>
    </row>
    <row r="41" spans="1:14" ht="15.75" thickBot="1">
      <c r="A41" s="48" t="s">
        <v>536</v>
      </c>
      <c r="B41" s="51" t="s">
        <v>5</v>
      </c>
      <c r="F41" s="10"/>
      <c r="G41" s="52" t="s">
        <v>567</v>
      </c>
      <c r="L41" s="19" t="s">
        <v>549</v>
      </c>
      <c r="M41" s="69">
        <v>1303</v>
      </c>
      <c r="N41" s="10"/>
    </row>
    <row r="42" spans="1:14" ht="15.75" thickBot="1">
      <c r="A42" s="49" t="s">
        <v>542</v>
      </c>
      <c r="B42" s="46">
        <v>127436</v>
      </c>
      <c r="F42" s="10"/>
      <c r="G42" s="11"/>
      <c r="L42" s="19" t="s">
        <v>550</v>
      </c>
      <c r="M42" s="69">
        <v>1100</v>
      </c>
      <c r="N42" s="10"/>
    </row>
    <row r="43" spans="1:14" ht="15.75" thickBot="1">
      <c r="A43" s="49" t="s">
        <v>543</v>
      </c>
      <c r="B43" s="46">
        <v>102034</v>
      </c>
      <c r="F43" s="10"/>
      <c r="G43" s="17" t="s">
        <v>559</v>
      </c>
      <c r="H43" s="58" t="s">
        <v>541</v>
      </c>
      <c r="I43" s="38"/>
      <c r="J43" s="37"/>
      <c r="L43" s="19" t="s">
        <v>551</v>
      </c>
      <c r="M43" s="69">
        <v>820</v>
      </c>
      <c r="N43" s="10"/>
    </row>
    <row r="44" spans="1:14" ht="15.75" thickBot="1">
      <c r="A44" s="49" t="s">
        <v>544</v>
      </c>
      <c r="B44" s="46">
        <v>96868</v>
      </c>
      <c r="F44" s="10"/>
      <c r="G44" s="17" t="s">
        <v>536</v>
      </c>
      <c r="H44" s="38" t="s">
        <v>18</v>
      </c>
      <c r="I44" s="38" t="s">
        <v>23</v>
      </c>
      <c r="J44" s="37" t="s">
        <v>27</v>
      </c>
      <c r="L44" s="19" t="s">
        <v>552</v>
      </c>
      <c r="M44" s="69">
        <v>827</v>
      </c>
      <c r="N44" s="10"/>
    </row>
    <row r="45" spans="1:14" ht="15.75" thickBot="1">
      <c r="A45" s="49" t="s">
        <v>545</v>
      </c>
      <c r="B45" s="46">
        <v>120793</v>
      </c>
      <c r="F45" s="10"/>
      <c r="G45" s="18" t="s">
        <v>31</v>
      </c>
      <c r="H45" s="39">
        <v>24</v>
      </c>
      <c r="I45" s="6">
        <v>33</v>
      </c>
      <c r="J45" s="7">
        <v>37</v>
      </c>
      <c r="L45" s="20" t="s">
        <v>553</v>
      </c>
      <c r="M45" s="70">
        <v>1012</v>
      </c>
      <c r="N45" s="10"/>
    </row>
    <row r="46" spans="1:14">
      <c r="A46" s="49" t="s">
        <v>546</v>
      </c>
      <c r="B46" s="46">
        <v>102350</v>
      </c>
      <c r="F46" s="10"/>
      <c r="G46" s="19" t="s">
        <v>26</v>
      </c>
      <c r="H46" s="11">
        <v>37</v>
      </c>
      <c r="I46">
        <v>39</v>
      </c>
      <c r="J46" s="10">
        <v>35</v>
      </c>
      <c r="N46" s="10"/>
    </row>
    <row r="47" spans="1:14">
      <c r="A47" s="49" t="s">
        <v>547</v>
      </c>
      <c r="B47" s="46">
        <v>116638</v>
      </c>
      <c r="F47" s="10"/>
      <c r="G47" s="19" t="s">
        <v>36</v>
      </c>
      <c r="H47" s="11">
        <v>27</v>
      </c>
      <c r="I47">
        <v>34</v>
      </c>
      <c r="J47" s="10">
        <v>28</v>
      </c>
      <c r="N47" s="10"/>
    </row>
    <row r="48" spans="1:14">
      <c r="A48" s="49" t="s">
        <v>548</v>
      </c>
      <c r="B48" s="46">
        <v>90311</v>
      </c>
      <c r="F48" s="10"/>
      <c r="G48" s="19" t="s">
        <v>16</v>
      </c>
      <c r="H48" s="11">
        <v>41</v>
      </c>
      <c r="I48">
        <v>26</v>
      </c>
      <c r="J48" s="10">
        <v>27</v>
      </c>
      <c r="N48" s="10"/>
    </row>
    <row r="49" spans="1:14" ht="15.75" thickBot="1">
      <c r="A49" s="49" t="s">
        <v>549</v>
      </c>
      <c r="B49" s="46">
        <v>121766</v>
      </c>
      <c r="F49" s="10"/>
      <c r="G49" s="20" t="s">
        <v>21</v>
      </c>
      <c r="H49" s="14">
        <v>34</v>
      </c>
      <c r="I49" s="15">
        <v>32</v>
      </c>
      <c r="J49" s="16">
        <v>46</v>
      </c>
      <c r="N49" s="10"/>
    </row>
    <row r="50" spans="1:14">
      <c r="A50" s="49" t="s">
        <v>550</v>
      </c>
      <c r="B50" s="46">
        <v>118609</v>
      </c>
      <c r="F50" s="10"/>
      <c r="G50" s="11"/>
      <c r="N50" s="10"/>
    </row>
    <row r="51" spans="1:14">
      <c r="A51" s="49" t="s">
        <v>551</v>
      </c>
      <c r="B51" s="46">
        <v>80138</v>
      </c>
      <c r="F51" s="10"/>
      <c r="G51" s="11"/>
      <c r="N51" s="10"/>
    </row>
    <row r="52" spans="1:14">
      <c r="A52" s="49" t="s">
        <v>552</v>
      </c>
      <c r="B52" s="46">
        <v>88228</v>
      </c>
      <c r="E52" t="s">
        <v>568</v>
      </c>
      <c r="F52" s="10"/>
      <c r="G52" s="11"/>
      <c r="N52" s="10"/>
    </row>
    <row r="53" spans="1:14" ht="15.75" thickBot="1">
      <c r="A53" s="50" t="s">
        <v>553</v>
      </c>
      <c r="B53" s="47">
        <v>108882</v>
      </c>
      <c r="E53" t="s">
        <v>569</v>
      </c>
      <c r="F53" s="10"/>
      <c r="G53" s="11"/>
      <c r="N53" s="10"/>
    </row>
    <row r="54" spans="1:14">
      <c r="A54" s="11"/>
      <c r="E54" t="s">
        <v>570</v>
      </c>
      <c r="F54" s="10"/>
      <c r="G54" s="11"/>
      <c r="N54" s="10"/>
    </row>
    <row r="55" spans="1:14" ht="15.75" thickBot="1">
      <c r="A55" s="14"/>
      <c r="B55" s="15"/>
      <c r="C55" s="15"/>
      <c r="D55" s="15"/>
      <c r="E55" s="15"/>
      <c r="F55" s="16"/>
      <c r="G55" s="14"/>
      <c r="H55" s="15"/>
      <c r="I55" s="15"/>
      <c r="J55" s="15"/>
      <c r="K55" s="15"/>
      <c r="L55" s="15"/>
      <c r="M55" s="15"/>
      <c r="N55" s="16"/>
    </row>
    <row r="56" spans="1:14">
      <c r="A56" s="39"/>
      <c r="B56" s="6"/>
      <c r="C56" s="6"/>
      <c r="D56" s="7"/>
    </row>
    <row r="57" spans="1:14">
      <c r="A57" s="63" t="s">
        <v>571</v>
      </c>
      <c r="D57" s="10"/>
      <c r="E57" t="s">
        <v>533</v>
      </c>
    </row>
    <row r="58" spans="1:14" ht="15.75" thickBot="1">
      <c r="A58" s="64" t="s">
        <v>572</v>
      </c>
      <c r="D58" s="10"/>
      <c r="E58" s="9" t="s">
        <v>568</v>
      </c>
    </row>
    <row r="59" spans="1:14" ht="15.75" thickBot="1">
      <c r="A59" s="17" t="s">
        <v>536</v>
      </c>
      <c r="B59" s="22" t="s">
        <v>540</v>
      </c>
      <c r="D59" s="10"/>
      <c r="E59" s="17" t="s">
        <v>536</v>
      </c>
      <c r="F59" s="22" t="s">
        <v>573</v>
      </c>
    </row>
    <row r="60" spans="1:14">
      <c r="A60" s="18" t="s">
        <v>18</v>
      </c>
      <c r="B60" s="56">
        <v>5271124.66</v>
      </c>
      <c r="D60" s="10"/>
      <c r="E60" s="18" t="s">
        <v>18</v>
      </c>
      <c r="F60" s="68">
        <v>769.26999999999987</v>
      </c>
    </row>
    <row r="61" spans="1:14">
      <c r="A61" s="19" t="s">
        <v>23</v>
      </c>
      <c r="B61" s="57">
        <v>5543447.6799999997</v>
      </c>
      <c r="D61" s="10"/>
      <c r="E61" s="19" t="s">
        <v>23</v>
      </c>
      <c r="F61" s="69">
        <v>758.04</v>
      </c>
    </row>
    <row r="62" spans="1:14" ht="15.75" thickBot="1">
      <c r="A62" s="20" t="s">
        <v>27</v>
      </c>
      <c r="B62" s="42">
        <v>6392614.0099999998</v>
      </c>
      <c r="D62" s="10"/>
      <c r="E62" s="20" t="s">
        <v>27</v>
      </c>
      <c r="F62" s="70">
        <v>874.73</v>
      </c>
    </row>
    <row r="63" spans="1:14">
      <c r="A63" s="11"/>
      <c r="D63" s="10"/>
    </row>
    <row r="64" spans="1:14">
      <c r="A64" s="11"/>
      <c r="D64" s="10"/>
    </row>
    <row r="65" spans="1:7" ht="15.75" thickBot="1">
      <c r="A65" s="64" t="s">
        <v>574</v>
      </c>
      <c r="D65" s="10"/>
      <c r="E65" s="64" t="s">
        <v>569</v>
      </c>
    </row>
    <row r="66" spans="1:7" ht="15.75" thickBot="1">
      <c r="A66" s="17" t="s">
        <v>536</v>
      </c>
      <c r="B66" s="36" t="s">
        <v>9</v>
      </c>
      <c r="C66" s="37" t="s">
        <v>8</v>
      </c>
      <c r="D66" s="10"/>
      <c r="E66" s="17" t="s">
        <v>536</v>
      </c>
      <c r="F66" s="6" t="s">
        <v>575</v>
      </c>
      <c r="G66" s="7" t="s">
        <v>7</v>
      </c>
    </row>
    <row r="67" spans="1:7">
      <c r="A67" s="19" t="s">
        <v>22</v>
      </c>
      <c r="B67" s="59">
        <v>5958121.5899999989</v>
      </c>
      <c r="C67" s="62">
        <v>4621118.22</v>
      </c>
      <c r="D67" s="10"/>
      <c r="E67" s="19" t="s">
        <v>22</v>
      </c>
      <c r="F67" s="65">
        <v>83.474107142857136</v>
      </c>
      <c r="G67" s="7">
        <v>784.88</v>
      </c>
    </row>
    <row r="68" spans="1:7">
      <c r="A68" s="19" t="s">
        <v>32</v>
      </c>
      <c r="B68" s="60">
        <v>5753854.0500000007</v>
      </c>
      <c r="C68" s="54">
        <v>4396592.79</v>
      </c>
      <c r="D68" s="10"/>
      <c r="E68" s="19" t="s">
        <v>32</v>
      </c>
      <c r="F68" s="66">
        <v>85.281790123456787</v>
      </c>
      <c r="G68" s="10">
        <v>809.34</v>
      </c>
    </row>
    <row r="69" spans="1:7" ht="15.75" thickBot="1">
      <c r="A69" s="20" t="s">
        <v>17</v>
      </c>
      <c r="B69" s="61">
        <v>5495210.71</v>
      </c>
      <c r="C69" s="55">
        <v>4240782.2</v>
      </c>
      <c r="D69" s="10"/>
      <c r="E69" s="20" t="s">
        <v>17</v>
      </c>
      <c r="F69" s="67">
        <v>84.176647058823534</v>
      </c>
      <c r="G69" s="16">
        <v>807.82</v>
      </c>
    </row>
    <row r="70" spans="1:7">
      <c r="A70" s="11"/>
      <c r="D70" s="10"/>
    </row>
    <row r="71" spans="1:7" ht="15.75" thickBot="1">
      <c r="A71" s="64" t="s">
        <v>576</v>
      </c>
      <c r="D71" s="10"/>
      <c r="E71" s="9" t="s">
        <v>570</v>
      </c>
    </row>
    <row r="72" spans="1:7" ht="15.75" thickBot="1">
      <c r="A72" s="17" t="s">
        <v>536</v>
      </c>
      <c r="B72" s="36" t="s">
        <v>9</v>
      </c>
      <c r="C72" s="37" t="s">
        <v>8</v>
      </c>
      <c r="D72" s="10"/>
      <c r="E72" s="43" t="s">
        <v>536</v>
      </c>
      <c r="F72" s="6" t="s">
        <v>575</v>
      </c>
      <c r="G72" s="7" t="s">
        <v>7</v>
      </c>
    </row>
    <row r="73" spans="1:7">
      <c r="A73" s="19" t="s">
        <v>542</v>
      </c>
      <c r="B73" s="59">
        <v>1435762.5</v>
      </c>
      <c r="C73" s="62">
        <v>1112261.43</v>
      </c>
      <c r="D73" s="10"/>
      <c r="E73" s="44" t="s">
        <v>542</v>
      </c>
      <c r="F73" s="65">
        <v>84.912173913043475</v>
      </c>
      <c r="G73" s="7">
        <v>251.23</v>
      </c>
    </row>
    <row r="74" spans="1:7">
      <c r="A74" s="19" t="s">
        <v>543</v>
      </c>
      <c r="B74" s="60">
        <v>1315990.1000000001</v>
      </c>
      <c r="C74" s="54">
        <v>996579.93</v>
      </c>
      <c r="D74" s="10"/>
      <c r="E74" s="44" t="s">
        <v>543</v>
      </c>
      <c r="F74" s="66">
        <v>85.114249999999998</v>
      </c>
      <c r="G74" s="10">
        <v>233.98</v>
      </c>
    </row>
    <row r="75" spans="1:7">
      <c r="A75" s="19" t="s">
        <v>544</v>
      </c>
      <c r="B75" s="60">
        <v>1133116.51</v>
      </c>
      <c r="C75" s="54">
        <v>873971.77</v>
      </c>
      <c r="D75" s="10"/>
      <c r="E75" s="44" t="s">
        <v>544</v>
      </c>
      <c r="F75" s="66">
        <v>82.022972972972966</v>
      </c>
      <c r="G75" s="10">
        <v>199.81</v>
      </c>
    </row>
    <row r="76" spans="1:7">
      <c r="A76" s="19" t="s">
        <v>545</v>
      </c>
      <c r="B76" s="60">
        <v>1516907.14</v>
      </c>
      <c r="C76" s="54">
        <v>1170364.76</v>
      </c>
      <c r="D76" s="10"/>
      <c r="E76" s="44" t="s">
        <v>545</v>
      </c>
      <c r="F76" s="66">
        <v>83.521086956521728</v>
      </c>
      <c r="G76" s="10">
        <v>205.97</v>
      </c>
    </row>
    <row r="77" spans="1:7">
      <c r="A77" s="19" t="s">
        <v>546</v>
      </c>
      <c r="B77" s="60">
        <v>1439193.38</v>
      </c>
      <c r="C77" s="54">
        <v>1124468.46</v>
      </c>
      <c r="D77" s="10"/>
      <c r="E77" s="44" t="s">
        <v>546</v>
      </c>
      <c r="F77" s="66">
        <v>84.999761904761897</v>
      </c>
      <c r="G77" s="10">
        <v>191.31</v>
      </c>
    </row>
    <row r="78" spans="1:7">
      <c r="A78" s="19" t="s">
        <v>547</v>
      </c>
      <c r="B78" s="60">
        <v>1859552.6500000001</v>
      </c>
      <c r="C78" s="54">
        <v>1429088.67</v>
      </c>
      <c r="D78" s="10"/>
      <c r="E78" s="44" t="s">
        <v>547</v>
      </c>
      <c r="F78" s="66">
        <v>84.746304347826083</v>
      </c>
      <c r="G78" s="10">
        <v>197.83</v>
      </c>
    </row>
    <row r="79" spans="1:7">
      <c r="A79" s="19" t="s">
        <v>548</v>
      </c>
      <c r="B79" s="60">
        <v>1363533.95</v>
      </c>
      <c r="C79" s="54">
        <v>1036134.97</v>
      </c>
      <c r="D79" s="10"/>
      <c r="E79" s="44" t="s">
        <v>548</v>
      </c>
      <c r="F79" s="66">
        <v>86.376666666666665</v>
      </c>
      <c r="G79" s="10">
        <v>174.52</v>
      </c>
    </row>
    <row r="80" spans="1:7">
      <c r="A80" s="19" t="s">
        <v>549</v>
      </c>
      <c r="B80" s="60">
        <v>1821597.2899999998</v>
      </c>
      <c r="C80" s="54">
        <v>1402725.95</v>
      </c>
      <c r="D80" s="10"/>
      <c r="E80" s="44" t="s">
        <v>549</v>
      </c>
      <c r="F80" s="66">
        <v>81.654313725490198</v>
      </c>
      <c r="G80" s="10">
        <v>207.08</v>
      </c>
    </row>
    <row r="81" spans="1:7">
      <c r="A81" s="19" t="s">
        <v>550</v>
      </c>
      <c r="B81" s="60">
        <v>1572216.2999999998</v>
      </c>
      <c r="C81" s="54">
        <v>1198447.5900000001</v>
      </c>
      <c r="D81" s="10"/>
      <c r="E81" s="44" t="s">
        <v>550</v>
      </c>
      <c r="F81" s="66">
        <v>86.534883720930239</v>
      </c>
      <c r="G81" s="10">
        <v>202.86</v>
      </c>
    </row>
    <row r="82" spans="1:7">
      <c r="A82" s="19" t="s">
        <v>551</v>
      </c>
      <c r="B82" s="60">
        <v>930945.9</v>
      </c>
      <c r="C82" s="54">
        <v>737604.06</v>
      </c>
      <c r="D82" s="10"/>
      <c r="E82" s="44" t="s">
        <v>551</v>
      </c>
      <c r="F82" s="66">
        <v>84.3683870967742</v>
      </c>
      <c r="G82" s="10">
        <v>161.86000000000001</v>
      </c>
    </row>
    <row r="83" spans="1:7">
      <c r="A83" s="19" t="s">
        <v>552</v>
      </c>
      <c r="B83" s="60">
        <v>1229509.1800000002</v>
      </c>
      <c r="C83" s="54">
        <v>955787.86</v>
      </c>
      <c r="D83" s="10"/>
      <c r="E83" s="44" t="s">
        <v>552</v>
      </c>
      <c r="F83" s="66">
        <v>84.11333333333333</v>
      </c>
      <c r="G83" s="10">
        <v>191.26</v>
      </c>
    </row>
    <row r="84" spans="1:7" ht="15.75" thickBot="1">
      <c r="A84" s="20" t="s">
        <v>553</v>
      </c>
      <c r="B84" s="61">
        <v>1588861.4500000002</v>
      </c>
      <c r="C84" s="55">
        <v>1221057.76</v>
      </c>
      <c r="D84" s="10"/>
      <c r="E84" s="45" t="s">
        <v>553</v>
      </c>
      <c r="F84" s="67">
        <v>83.630232558139539</v>
      </c>
      <c r="G84" s="16">
        <v>184.33</v>
      </c>
    </row>
    <row r="85" spans="1:7" ht="15.75" thickBot="1">
      <c r="A85" s="14"/>
      <c r="B85" s="15"/>
      <c r="C85" s="15"/>
      <c r="D85" s="16"/>
    </row>
    <row r="86" spans="1:7" ht="15.75" thickBot="1"/>
    <row r="99" ht="15.75" thickBot="1"/>
    <row r="111" ht="15.75" thickBo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1D96-BDA9-4C9E-8174-0A7B7D6C5624}">
  <dimension ref="A1"/>
  <sheetViews>
    <sheetView tabSelected="1" zoomScaleNormal="100" workbookViewId="0">
      <selection activeCell="W11" sqref="W11"/>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E8BF0-88C1-44F7-8B23-B194C8BBD599}">
  <dimension ref="A1"/>
  <sheetViews>
    <sheetView zoomScaleNormal="100" workbookViewId="0"/>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EDAFC-0779-4B0F-8B2A-7A3012D63327}">
  <dimension ref="A1"/>
  <sheetViews>
    <sheetView zoomScaleNormal="100" workbookViewId="0"/>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3C564-80D1-45A4-85F6-7BB4E6A25A0C}">
  <dimension ref="A1"/>
  <sheetViews>
    <sheetView zoomScaleNormal="100" workbookViewId="0"/>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AB902-0E5A-47DB-A745-05C3D8A9793F}">
  <dimension ref="A1"/>
  <sheetViews>
    <sheetView zoomScaleNormal="100" workbookViewId="0"/>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synthetic_production_dataset</vt:lpstr>
      <vt:lpstr>Design_Sheet</vt:lpstr>
      <vt:lpstr>Overview</vt:lpstr>
      <vt:lpstr>Production Analysis</vt:lpstr>
      <vt:lpstr>Quality Analysis</vt:lpstr>
      <vt:lpstr>Cost &amp; Revenue</vt:lpstr>
      <vt:lpstr>Efficiency &amp; Downtime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Office</cp:lastModifiedBy>
  <cp:revision/>
  <dcterms:created xsi:type="dcterms:W3CDTF">2025-10-27T06:10:20Z</dcterms:created>
  <dcterms:modified xsi:type="dcterms:W3CDTF">2026-05-09T04:30:57Z</dcterms:modified>
  <cp:category/>
  <cp:contentStatus/>
</cp:coreProperties>
</file>